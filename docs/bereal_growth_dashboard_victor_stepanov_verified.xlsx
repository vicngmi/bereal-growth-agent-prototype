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e4bb73b3c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5b542fe7c2f64f90"/>
    <x:sheet xmlns:r="http://schemas.openxmlformats.org/officeDocument/2006/relationships" name="Core Loop Health" sheetId="2" r:id="R8bd0d537380a40d4"/>
    <x:sheet xmlns:r="http://schemas.openxmlformats.org/officeDocument/2006/relationships" name="Network Quality" sheetId="3" r:id="R79da39d52fa9450a"/>
    <x:sheet xmlns:r="http://schemas.openxmlformats.org/officeDocument/2006/relationships" name="Acquisition Quality" sheetId="4" r:id="R2489bcd358904ca2"/>
    <x:sheet xmlns:r="http://schemas.openxmlformats.org/officeDocument/2006/relationships" name="Funnel Cohorts" sheetId="5" r:id="Rd0d997d16bc64196"/>
    <x:sheet xmlns:r="http://schemas.openxmlformats.org/officeDocument/2006/relationships" name="Experiments Alerts" sheetId="6" r:id="R72727c860ac34f93"/>
    <x:sheet xmlns:r="http://schemas.openxmlformats.org/officeDocument/2006/relationships" name="Data Dictionary" sheetId="7" r:id="R5cf430d5e2d34638"/>
    <x:sheet xmlns:r="http://schemas.openxmlformats.org/officeDocument/2006/relationships" name="Assumptions" sheetId="8" r:id="Ra872ff9f140c4b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%"/>
    <x:numFmt numFmtId="201" formatCode="mmm d"/>
    <x:numFmt numFmtId="202" formatCode="0.0"/>
    <x:numFmt numFmtId="203" formatCode="$#,##0.00"/>
    <x:numFmt numFmtId="204" formatCode="$0.00"/>
    <x:numFmt numFmtId="205" formatCode="$#,##0"/>
    <x:numFmt numFmtId="206" formatCode="#,##0"/>
    <x:numFmt numFmtId="207" formatCode="0.0%"/>
  </x:numFmts>
  <x:fonts count="1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  <x:font>
      <x:i/>
      <x:sz val="11"/>
      <x:color rgb="4B5563"/>
      <x:name val="Carlito"/>
    </x:font>
    <x:font>
      <x:b/>
      <x:sz val="12"/>
      <x:color rgb="111827"/>
      <x:name val="Carlito"/>
    </x:font>
    <x:font>
      <x:sz val="10"/>
      <x:color rgb="111827"/>
      <x:name val="Carlito"/>
    </x:font>
    <x:font>
      <x:b/>
      <x:sz val="10"/>
      <x:color rgb="111827"/>
      <x:name val="Carlito"/>
    </x:font>
    <x:font>
      <x:i/>
      <x:sz val="10"/>
      <x:color rgb="374151"/>
      <x:name val="Carlito"/>
    </x:font>
    <x:font>
      <x:b/>
      <x:sz val="14"/>
      <x:color rgb="111827"/>
      <x:name val="Carlito"/>
    </x:font>
    <x:font>
      <x:sz val="10"/>
      <x:name val="Carlito"/>
    </x:font>
    <x:font>
      <x:b/>
      <x:sz val="13"/>
      <x:color rgb="111827"/>
      <x:name val="Carlito"/>
    </x:font>
    <x:font>
      <x:i/>
      <x:sz val="9"/>
      <x:color rgb="6B728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2563EB"/>
      </x:patternFill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F8FAFC"/>
      </x:patternFill>
    </x:fill>
    <x:fill>
      <x:patternFill patternType="solid">
        <x:fgColor rgb="111827"/>
      </x:patternFill>
    </x:fill>
    <x:fill>
      <x:patternFill patternType="solid">
        <x:fgColor rgb="FFFFFF"/>
      </x:patternFill>
    </x:fill>
    <x:fill>
      <x:patternFill patternType="solid">
        <x:fgColor rgb="EFF6FF"/>
      </x:patternFill>
    </x:fill>
    <x:fill>
      <x:patternFill patternType="solid">
        <x:fgColor rgb="F3F4F6"/>
      </x:patternFill>
    </x:fill>
    <x:fill>
      <x:patternFill patternType="solid">
        <x:fgColor rgb="FFFBEB"/>
      </x:patternFill>
    </x:fill>
  </x:fills>
  <x:borders count="2">
    <x:border/>
    <x:border/>
  </x:borders>
  <x:cellStyleXfs count="1">
    <x:xf numFmtId="0" fontId="0" fillId="0" borderId="0"/>
  </x:cellStyleXfs>
  <x:cellXfs count="1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202" fontId="5" fillId="5" borderId="0" xfId="0" applyNumberFormat="1" applyFont="1" applyFill="1" applyBorder="1" applyAlignment="1">
      <x:alignment horizontal="center" vertical="center"/>
    </x:xf>
    <x:xf numFmtId="202" fontId="5" fillId="5" borderId="1" xfId="0" applyNumberFormat="1" applyFont="1" applyFill="1" applyBorder="1" applyAlignment="1">
      <x:alignment horizontal="center" vertical="center"/>
    </x:xf>
    <x:xf numFmtId="204" fontId="5" fillId="5" borderId="0" xfId="0" applyNumberFormat="1" applyFont="1" applyFill="1" applyBorder="1" applyAlignment="1">
      <x:alignment horizontal="center" vertical="center"/>
    </x:xf>
    <x:xf numFmtId="204" fontId="5" fillId="5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 vertical="top"/>
    </x:xf>
    <x:xf numFmtId="0" fontId="0" fillId="7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horizontal="left" vertical="top"/>
    </x:xf>
    <x:xf numFmtId="0" fontId="9" fillId="7" borderId="0" xfId="0" applyNumberFormat="1" applyFont="1" applyFill="1" applyBorder="1" applyAlignment="1">
      <x:alignment vertical="top"/>
    </x:xf>
    <x:xf numFmtId="0" fontId="9" fillId="7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/>
    </x:xf>
    <x:xf numFmtId="200" fontId="7" fillId="5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202" fontId="7" fillId="5" borderId="0" xfId="0" applyNumberFormat="1" applyFont="1" applyFill="1" applyBorder="1" applyAlignment="1">
      <x:alignment horizontal="center" vertical="center"/>
    </x:xf>
    <x:xf numFmtId="204" fontId="7" fillId="5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 wrapText="1"/>
    </x:xf>
    <x:xf numFmtId="200" fontId="7" fillId="5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wrapText="1"/>
    </x:xf>
    <x:xf numFmtId="202" fontId="7" fillId="5" borderId="0" xfId="0" applyNumberFormat="1" applyFont="1" applyFill="1" applyBorder="1" applyAlignment="1">
      <x:alignment horizontal="center" vertical="center" wrapText="1"/>
    </x:xf>
    <x:xf numFmtId="204" fontId="7" fillId="5" borderId="0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200" fontId="7" fillId="5" borderId="0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 applyAlignment="1">
      <x:alignment vertical="top" wrapText="1"/>
    </x:xf>
    <x:xf numFmtId="202" fontId="7" fillId="5" borderId="0" xfId="0" applyNumberFormat="1" applyFont="1" applyFill="1" applyBorder="1" applyAlignment="1">
      <x:alignment horizontal="center" vertical="top" wrapText="1"/>
    </x:xf>
    <x:xf numFmtId="204" fontId="7" fillId="5" borderId="0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horizontal="left" vertical="top"/>
    </x:xf>
    <x:xf numFmtId="0" fontId="7" fillId="7" borderId="0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horizontal="left" vertical="top"/>
    </x:xf>
    <x:xf numFmtId="0" fontId="11" fillId="7" borderId="0" xfId="0" applyNumberFormat="1" applyFont="1" applyFill="1" applyBorder="1" applyAlignment="1">
      <x:alignment vertical="top"/>
    </x:xf>
    <x:xf numFmtId="201" fontId="10" fillId="0" borderId="0" xfId="0" applyNumberFormat="1" applyFont="1" applyFill="1" applyBorder="1"/>
    <x:xf numFmtId="200" fontId="10" fillId="0" borderId="0" xfId="0" applyNumberFormat="1" applyFont="1" applyFill="1" applyBorder="1"/>
    <x:xf numFmtId="202" fontId="10" fillId="0" borderId="0" xfId="0" applyNumberFormat="1" applyFont="1" applyFill="1" applyBorder="1"/>
    <x:xf numFmtId="201" fontId="10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202" fontId="10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left" vertical="top" wrapText="1"/>
    </x:xf>
    <x:xf numFmtId="0" fontId="11" fillId="7" borderId="0" xfId="0" applyNumberFormat="1" applyFont="1" applyFill="1" applyBorder="1" applyAlignment="1">
      <x:alignment horizontal="left" vertical="top" wrapText="1"/>
    </x:xf>
    <x:xf numFmtId="0" fontId="11" fillId="7" borderId="0" xfId="0" applyNumberFormat="1" applyFont="1" applyFill="1" applyBorder="1" applyAlignment="1">
      <x:alignment vertical="top" wrapText="1"/>
    </x:xf>
    <x:xf numFmtId="203" fontId="10" fillId="0" borderId="0" xfId="0" applyNumberFormat="1" applyFont="1" applyFill="1" applyBorder="1"/>
    <x:xf numFmtId="203" fontId="10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205" fontId="10" fillId="0" borderId="0" xfId="0" applyNumberFormat="1" applyFont="1" applyFill="1" applyBorder="1" applyAlignment="1">
      <x:alignment wrapText="1"/>
    </x:xf>
    <x:xf numFmtId="204" fontId="10" fillId="0" borderId="0" xfId="0" applyNumberFormat="1" applyFont="1" applyFill="1" applyBorder="1" applyAlignment="1">
      <x:alignment wrapText="1"/>
    </x:xf>
    <x:xf numFmtId="206" fontId="10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top"/>
    </x:xf>
    <x:xf numFmtId="207" fontId="7" fillId="5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cf78d701542d3" /><Relationship Type="http://schemas.openxmlformats.org/officeDocument/2006/relationships/theme" Target="/xl/theme/theme1.xml" Id="Rc29228f64daa4108" /><Relationship Type="http://schemas.openxmlformats.org/officeDocument/2006/relationships/sharedStrings" Target="/xl/sharedStrings.xml" Id="R02e7f87657094936" /><Relationship Type="http://schemas.openxmlformats.org/officeDocument/2006/relationships/worksheet" Target="/xl/worksheets/sheet1.xml" Id="R5b542fe7c2f64f90" /><Relationship Type="http://schemas.openxmlformats.org/officeDocument/2006/relationships/worksheet" Target="/xl/worksheets/sheet2.xml" Id="R8bd0d537380a40d4" /><Relationship Type="http://schemas.openxmlformats.org/officeDocument/2006/relationships/worksheet" Target="/xl/worksheets/sheet3.xml" Id="R79da39d52fa9450a" /><Relationship Type="http://schemas.openxmlformats.org/officeDocument/2006/relationships/worksheet" Target="/xl/worksheets/sheet4.xml" Id="R2489bcd358904ca2" /><Relationship Type="http://schemas.openxmlformats.org/officeDocument/2006/relationships/worksheet" Target="/xl/worksheets/sheet5.xml" Id="Rd0d997d16bc64196" /><Relationship Type="http://schemas.openxmlformats.org/officeDocument/2006/relationships/worksheet" Target="/xl/worksheets/sheet6.xml" Id="R72727c860ac34f93" /><Relationship Type="http://schemas.openxmlformats.org/officeDocument/2006/relationships/worksheet" Target="/xl/worksheets/sheet7.xml" Id="R5cf430d5e2d34638" /><Relationship Type="http://schemas.openxmlformats.org/officeDocument/2006/relationships/worksheet" Target="/xl/worksheets/sheet8.xml" Id="Ra872ff9f140c4b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406b583a394fa2" /><Relationship Type="http://schemas.openxmlformats.org/officeDocument/2006/relationships/chart" Target="/xl/drawings/charts/chart2.xml" Id="Rfa230332cc51495a" /><Relationship Type="http://schemas.openxmlformats.org/officeDocument/2006/relationships/chart" Target="/xl/drawings/charts/chart3.xml" Id="R76a33ded36714a61" /><Relationship Type="http://schemas.openxmlformats.org/officeDocument/2006/relationships/chart" Target="/xl/drawings/charts/chart4.xml" Id="R1ad250689c9f455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3fc3a16eaa0c4f7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7067d0267a3b4ef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22dba769031544ab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b53998e938454a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Loop health: activation, first post and retention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% with ≥3 active friends</c:v>
          </c:tx>
          <c:cat>
            <c:strRef>
              <c:f>'Network Quality'!$A$4:$A$12</c:f>
              <c:strCache>
                <c:ptCount val="0"/>
              </c:strCache>
            </c:strRef>
          </c:cat>
          <c:val>
            <c:numRef>
              <c:f>'Network Quality'!$G$4:$G$12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Quality Score</c:v>
          </c:tx>
          <c:cat>
            <c:strRef>
              <c:f>'Acquisition Quality'!$A$4:$B$11</c:f>
              <c:strCache>
                <c:ptCount val="0"/>
              </c:strCache>
            </c:strRef>
          </c:cat>
          <c:val>
            <c:numRef>
              <c:f>'Acquisition Quality'!$O$4:$O$11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Cohort retention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Core loop conversion and retention trends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% with ≥3 Active Friends</c:v>
          </c:tx>
          <c:cat>
            <c:strRef>
              <c:f>'Network Quality'!$A$4:$A$12</c:f>
              <c:strCache>
                <c:ptCount val="0"/>
              </c:strCache>
            </c:strRef>
          </c:cat>
          <c:val>
            <c:numRef>
              <c:f>'Network Quality'!$G$4:$G$12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Quality Score</c:v>
          </c:tx>
          <c:cat>
            <c:strRef>
              <c:f>'Acquisition Quality'!$A$4:$B$11</c:f>
              <c:strCache>
                <c:ptCount val="0"/>
              </c:strCache>
            </c:strRef>
          </c:cat>
          <c:val>
            <c:numRef>
              <c:f>'Acquisition Quality'!$O$4:$O$11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Retention by install cohort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406b583a394fa2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15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230332cc51495a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a33ded36714a61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15</xdr:col>
      <xdr:colOff>0</xdr:colOff>
      <xdr:row>48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d250689c9f455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2</xdr:row>
      <xdr:rowOff>0</xdr:rowOff>
    </xdr:from>
    <xdr:to>
      <xdr:col>24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c3a16eaa0c4f7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13</xdr:col>
      <xdr:colOff>0</xdr:colOff>
      <xdr:row>2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67d0267a3b4ef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18</xdr:col>
      <xdr:colOff>0</xdr:colOff>
      <xdr:row>2</xdr:row>
      <xdr:rowOff>0</xdr:rowOff>
    </xdr:from>
    <xdr:to>
      <xdr:col>27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dba769031544ab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10</xdr:col>
      <xdr:colOff>0</xdr:colOff>
      <xdr:row>13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3998e938454a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reLoopTable" displayName="CoreLoopTable" ref="A3:M15" headerRowCount="1">
  <x:tableColumns count="13">
    <x:tableColumn id="1" name="Week"/>
    <x:tableColumn id="2" name="New Installs"/>
    <x:tableColumn id="3" name="Activated Users"/>
    <x:tableColumn id="4" name="Activation Rate"/>
    <x:tableColumn id="5" name="Users w/ 1st Post"/>
    <x:tableColumn id="6" name="First Post Rate"/>
    <x:tableColumn id="7" name="DAU"/>
    <x:tableColumn id="8" name="WAU"/>
    <x:tableColumn id="9" name="DAU/WAU"/>
    <x:tableColumn id="10" name="Push Open Rate"/>
    <x:tableColumn id="11" name="Avg Interactions/Post"/>
    <x:tableColumn id="12" name="D1 Retention"/>
    <x:tableColumn id="13" name="D7 Retention"/>
  </x:tableColumns>
  <x:tableStyleInfo name="TableStyleMedium2" showRowStripes="1"/>
</x:table>
</file>

<file path=xl/tables/table2.xml><?xml version="1.0" encoding="utf-8"?>
<x:table xmlns:x="http://schemas.openxmlformats.org/spreadsheetml/2006/main" id="2" name="NetworkQualityTable" displayName="NetworkQualityTable" ref="A3:L12" headerRowCount="1">
  <x:tableColumns count="12">
    <x:tableColumn id="1" name="Cluster"/>
    <x:tableColumn id="2" name="Type"/>
    <x:tableColumn id="3" name="Platform"/>
    <x:tableColumn id="4" name="New Users"/>
    <x:tableColumn id="5" name="Active Users"/>
    <x:tableColumn id="6" name="Avg Active Friends"/>
    <x:tableColumn id="7" name="% with ≥3 Active Friends"/>
    <x:tableColumn id="8" name="Median Friend Count"/>
    <x:tableColumn id="9" name="Cluster Density"/>
    <x:tableColumn id="10" name="D7 Retention"/>
    <x:tableColumn id="11" name="Posts/User"/>
    <x:tableColumn id="12" name="Priority"/>
  </x:tableColumns>
  <x:tableStyleInfo name="TableStyleMedium2" showRowStripes="1"/>
</x:table>
</file>

<file path=xl/tables/table3.xml><?xml version="1.0" encoding="utf-8"?>
<x:table xmlns:x="http://schemas.openxmlformats.org/spreadsheetml/2006/main" id="3" name="AcquisitionQualityTable" displayName="AcquisitionQualityTable" ref="A3:Q11" headerRowCount="1">
  <x:tableColumns count="17">
    <x:tableColumn id="1" name="Source"/>
    <x:tableColumn id="2" name="Platform"/>
    <x:tableColumn id="3" name="Community Target"/>
    <x:tableColumn id="4" name="Spend"/>
    <x:tableColumn id="5" name="Installs"/>
    <x:tableColumn id="6" name="Activated"/>
    <x:tableColumn id="7" name="Activation Rate"/>
    <x:tableColumn id="8" name="First Posters"/>
    <x:tableColumn id="9" name="First Post Rate"/>
    <x:tableColumn id="10" name="D7 Retained"/>
    <x:tableColumn id="11" name="D7 Retention"/>
    <x:tableColumn id="12" name="K-Factor"/>
    <x:tableColumn id="13" name="Paid-Equivalent CAC"/>
    <x:tableColumn id="14" name="CAC"/>
    <x:tableColumn id="15" name="Quality Score"/>
    <x:tableColumn id="16" name="Decision"/>
    <x:tableColumn id="17" name="Reason"/>
  </x:tableColumns>
  <x:tableStyleInfo name="TableStyleMedium2" showRowStripes="1"/>
</x:table>
</file>

<file path=xl/tables/table4.xml><?xml version="1.0" encoding="utf-8"?>
<x:table xmlns:x="http://schemas.openxmlformats.org/spreadsheetml/2006/main" id="4" name="FunnelTable" displayName="FunnelTable" ref="A3:M9" headerRowCount="1">
  <x:tableColumns count="13">
    <x:tableColumn id="1" name="Source"/>
    <x:tableColumn id="2" name="Platform"/>
    <x:tableColumn id="3" name="Installs"/>
    <x:tableColumn id="4" name="Add ≥3 Friends"/>
    <x:tableColumn id="5" name="Friend Add Rate"/>
    <x:tableColumn id="6" name="First Post"/>
    <x:tableColumn id="7" name="First Post Rate"/>
    <x:tableColumn id="8" name="D1 Active"/>
    <x:tableColumn id="9" name="D1 Retention"/>
    <x:tableColumn id="10" name="D7 Active"/>
    <x:tableColumn id="11" name="D7 Retention"/>
    <x:tableColumn id="12" name="Main Drop-off"/>
    <x:tableColumn id="13" name="Action"/>
  </x:tableColumns>
  <x:tableStyleInfo name="TableStyleMedium2" showRowStripes="1"/>
</x:table>
</file>

<file path=xl/tables/table5.xml><?xml version="1.0" encoding="utf-8"?>
<x:table xmlns:x="http://schemas.openxmlformats.org/spreadsheetml/2006/main" id="5" name="ExperimentsTable" displayName="ExperimentsTable" ref="A3:K8" headerRowCount="1">
  <x:tableColumns count="11">
    <x:tableColumn id="1" name="Alert / Segment"/>
    <x:tableColumn id="2" name="Trigger"/>
    <x:tableColumn id="3" name="Detected Signal"/>
    <x:tableColumn id="4" name="Hypothesis"/>
    <x:tableColumn id="5" name="Experiment"/>
    <x:tableColumn id="6" name="Primary Metric"/>
    <x:tableColumn id="7" name="Guardrail"/>
    <x:tableColumn id="8" name="Owner"/>
    <x:tableColumn id="9" name="Status"/>
    <x:tableColumn id="10" name="Expected Impact"/>
    <x:tableColumn id="11" name="Decision Rule"/>
  </x:tableColumns>
  <x:tableStyleInfo name="TableStyleMedium2" showRowStripes="1"/>
</x:table>
</file>

<file path=xl/tables/table6.xml><?xml version="1.0" encoding="utf-8"?>
<x:table xmlns:x="http://schemas.openxmlformats.org/spreadsheetml/2006/main" id="6" name="MetricDictionaryTable" displayName="MetricDictionaryTable" ref="A3:D14" headerRowCount="1">
  <x:tableColumns count="4">
    <x:tableColumn id="1" name="Metric"/>
    <x:tableColumn id="2" name="Definition"/>
    <x:tableColumn id="3" name="Why it matters"/>
    <x:tableColumn id="4" name="Sheet"/>
  </x:tableColumns>
  <x:tableStyleInfo name="TableStyleMedium2" showRowStripes="1"/>
</x:table>
</file>

<file path=xl/tables/table7.xml><?xml version="1.0" encoding="utf-8"?>
<x:table xmlns:x="http://schemas.openxmlformats.org/spreadsheetml/2006/main" id="7" name="AssumptionsTable" displayName="AssumptionsTable" ref="A3:D14" headerRowCount="1">
  <x:tableColumns count="4">
    <x:tableColumn id="1" name="Area"/>
    <x:tableColumn id="2" name="Input"/>
    <x:tableColumn id="3" name="Value"/>
    <x:tableColumn id="4" name="Why it exists / how it maps to my answ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b66c0ac9d3549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d23dc1311cf4327" /><Relationship Type="http://schemas.openxmlformats.org/officeDocument/2006/relationships/table" Target="/xl/tables/table1.xml" Id="Rf3a49b2fda9346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e640e135017c4cf7" /><Relationship Type="http://schemas.openxmlformats.org/officeDocument/2006/relationships/table" Target="/xl/tables/table2.xml" Id="Rf8160873897944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994602172d174dbe" /><Relationship Type="http://schemas.openxmlformats.org/officeDocument/2006/relationships/table" Target="/xl/tables/table3.xml" Id="R082fac33c7f843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4a658b4dd85a43e7" /><Relationship Type="http://schemas.openxmlformats.org/officeDocument/2006/relationships/table" Target="/xl/tables/table4.xml" Id="R3a70ad5fc35248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6e1c37192346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80bdff9ecc4e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ba6c3a92a3427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14" hidden="0" customWidth="1"/>
    <x:col min="5" max="5" width="35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32" customHeight="1">
      <x:c r="A1" s="80" t="str">
        <x:v>BeReal growth dashboard (draft) — core loop / network quality / acquisition quality</x:v>
      </x:c>
      <x:c r="B1" s="81"/>
      <x:c r="C1" s="81"/>
      <x:c r="D1" s="81"/>
      <x:c r="E1" s="81"/>
      <x:c r="F1" s="81"/>
      <x:c r="G1" s="82"/>
      <x:c r="H1" s="82"/>
      <x:c r="I1" s="82"/>
      <x:c r="J1" s="82"/>
      <x:c r="K1" s="82"/>
      <x:c r="L1" s="82"/>
      <x:c r="M1" s="82"/>
      <x:c r="N1" s="82"/>
      <x:c r="O1" s="82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57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</x:row>
    <x:row r="3">
      <x:c r="A3" s="96" t="str">
        <x:v>Sample data only. I would use this as an operating dashboard: start with loop health, check if users are embedded in active networks, then judge acquisition by retained users rather than installs.</x:v>
      </x:c>
      <x:c r="B3" s="96"/>
      <x:c r="C3" s="96"/>
      <x:c r="D3" s="96"/>
      <x:c r="E3" s="96"/>
      <x:c r="F3" s="96"/>
      <x:c r="G3" s="96"/>
      <x:c r="H3" s="96"/>
      <x:c r="I3" s="96"/>
      <x:c r="J3" s="96"/>
      <x:c r="K3" s="96"/>
      <x:c r="L3" s="96"/>
      <x:c r="M3" s="96"/>
      <x:c r="N3" s="96"/>
      <x:c r="O3" s="96"/>
    </x:row>
    <x:row r="4">
      <x:c r="A4" s="97" t="str">
        <x:v>KPI</x:v>
      </x:c>
      <x:c r="B4" s="97" t="str">
        <x:v>Current</x:v>
      </x:c>
      <x:c r="C4" s="97" t="str">
        <x:v>Target</x:v>
      </x:c>
      <x:c r="D4" s="97" t="str">
        <x:v>Signal</x:v>
      </x:c>
      <x:c r="E4" s="97" t="str">
        <x:v>Interpretation</x:v>
      </x:c>
      <x:c r="F4" s="57"/>
      <x:c r="G4" s="97" t="str">
        <x:v>Priority view</x:v>
      </x:c>
      <x:c r="H4" s="97" t="str">
        <x:v>Segment / source</x:v>
      </x:c>
      <x:c r="I4" s="97" t="str">
        <x:v>Observed signal</x:v>
      </x:c>
      <x:c r="J4" s="97" t="str">
        <x:v>Recommended action</x:v>
      </x:c>
      <x:c r="K4" s="97" t="str">
        <x:v>Owner</x:v>
      </x:c>
      <x:c r="L4" s="97" t="str">
        <x:v>Impact</x:v>
      </x:c>
      <x:c r="M4" s="97" t="str">
        <x:v>Timing</x:v>
      </x:c>
      <x:c r="N4" s="97" t="str">
        <x:v>Status</x:v>
      </x:c>
      <x:c r="O4" s="97" t="str">
        <x:v>Why</x:v>
      </x:c>
    </x:row>
    <x:row r="5">
      <x:c r="A5" s="98" t="str">
        <x:v>Activation rate</x:v>
      </x:c>
      <x:c r="B5" s="132" t="n">
        <x:f>'Core Loop Health'!D15</x:f>
        <x:v>0.4699854227405248</x:v>
      </x:c>
      <x:c r="C5" s="132" t="n">
        <x:v>0.45</x:v>
      </x:c>
      <x:c r="D5" s="98" t="str">
        <x:f>IF(B5&gt;=C5,"On track","Needs work")</x:f>
        <x:v>On track</x:v>
      </x:c>
      <x:c r="E5" s="98" t="str">
        <x:v>Are installs entering the loop?</x:v>
      </x:c>
      <x:c r="F5" s="100"/>
      <x:c r="G5" s="100" t="str">
        <x:v>Scale</x:v>
      </x:c>
      <x:c r="H5" s="100" t="str">
        <x:v>Campus ambassadors iOS</x:v>
      </x:c>
      <x:c r="I5" s="100" t="str">
        <x:v>Best quality + virality</x:v>
      </x:c>
      <x:c r="J5" s="100" t="str">
        <x:v>Increase budget and campus referral loops</x:v>
      </x:c>
      <x:c r="K5" s="100" t="str">
        <x:v>Paid UA</x:v>
      </x:c>
      <x:c r="L5" s="100" t="str">
        <x:v>+15–20% retained users</x:v>
      </x:c>
      <x:c r="M5" s="100" t="str">
        <x:v>Now</x:v>
      </x:c>
      <x:c r="N5" s="100" t="str">
        <x:v>Ready to scale</x:v>
      </x:c>
      <x:c r="O5" s="100" t="str">
        <x:v>Matches quality &gt; volume strategy</x:v>
      </x:c>
    </x:row>
    <x:row r="6">
      <x:c r="A6" s="98" t="str">
        <x:v>First post rate</x:v>
      </x:c>
      <x:c r="B6" s="132" t="n">
        <x:f>'Core Loop Health'!F15</x:f>
        <x:v>0.7639961539654477</x:v>
      </x:c>
      <x:c r="C6" s="132" t="n">
        <x:v>0.78</x:v>
      </x:c>
      <x:c r="D6" s="98" t="str">
        <x:f>IF(B6&gt;=C6,"On track","Needs work")</x:f>
        <x:v>Needs work</x:v>
      </x:c>
      <x:c r="E6" s="98" t="str">
        <x:v>Are activated users contributing?</x:v>
      </x:c>
      <x:c r="F6" s="100"/>
      <x:c r="G6" s="100" t="str">
        <x:v>Scale</x:v>
      </x:c>
      <x:c r="H6" s="100" t="str">
        <x:v>NYC run clubs / Paris book clubs</x:v>
      </x:c>
      <x:c r="I6" s="100" t="str">
        <x:v>High active-friend density</x:v>
      </x:c>
      <x:c r="J6" s="100" t="str">
        <x:v>Seed more adjacent real-world communities</x:v>
      </x:c>
      <x:c r="K6" s="100" t="str">
        <x:v>Growth PM</x:v>
      </x:c>
      <x:c r="L6" s="100" t="str">
        <x:v>+4–6pp D7</x:v>
      </x:c>
      <x:c r="M6" s="100" t="str">
        <x:v>Now</x:v>
      </x:c>
      <x:c r="N6" s="100" t="str">
        <x:v>In progress</x:v>
      </x:c>
      <x:c r="O6" s="100" t="str">
        <x:v>Targets clusters, not demographics</x:v>
      </x:c>
    </x:row>
    <x:row r="7">
      <x:c r="A7" s="98" t="str">
        <x:v>D7 retention</x:v>
      </x:c>
      <x:c r="B7" s="132" t="n">
        <x:f>'Core Loop Health'!M15</x:f>
        <x:v>0.237</x:v>
      </x:c>
      <x:c r="C7" s="132" t="n">
        <x:v>0.24</x:v>
      </x:c>
      <x:c r="D7" s="98" t="str">
        <x:f>IF(B7&gt;=C7,"On track","Needs work")</x:f>
        <x:v>Needs work</x:v>
      </x:c>
      <x:c r="E7" s="98" t="str">
        <x:v>Is the habit forming?</x:v>
      </x:c>
      <x:c r="F7" s="100"/>
      <x:c r="G7" s="100" t="str">
        <x:v>Fix</x:v>
      </x:c>
      <x:c r="H7" s="100" t="str">
        <x:v>Android Meta / festival cohorts</x:v>
      </x:c>
      <x:c r="I7" s="100" t="str">
        <x:v>Low first-post and D7</x:v>
      </x:c>
      <x:c r="J7" s="100" t="str">
        <x:v>Pause broad targeting; fix onboarding + friend suggestions</x:v>
      </x:c>
      <x:c r="K7" s="100" t="str">
        <x:v>Activation PM</x:v>
      </x:c>
      <x:c r="L7" s="100" t="str">
        <x:v>+3pp D7</x:v>
      </x:c>
      <x:c r="M7" s="100" t="str">
        <x:v>2 weeks</x:v>
      </x:c>
      <x:c r="N7" s="100" t="str">
        <x:v>Planned</x:v>
      </x:c>
      <x:c r="O7" s="100" t="str">
        <x:v>Weak network means low product value</x:v>
      </x:c>
    </x:row>
    <x:row r="8">
      <x:c r="A8" s="98" t="str">
        <x:v>Avg active friends</x:v>
      </x:c>
      <x:c r="B8" s="101" t="n">
        <x:f>AVERAGE('Network Quality'!F4:F12)</x:f>
        <x:v>3.677777777777778</x:v>
      </x:c>
      <x:c r="C8" s="101" t="n">
        <x:v>4</x:v>
      </x:c>
      <x:c r="D8" s="98" t="str">
        <x:f>IF(B8&gt;=C8,"On track","Needs density")</x:f>
        <x:v>Needs density</x:v>
      </x:c>
      <x:c r="E8" s="98" t="str">
        <x:v>Are users embedded in active networks?</x:v>
      </x:c>
      <x:c r="F8" s="100"/>
      <x:c r="G8" s="100" t="str">
        <x:v>Experiment</x:v>
      </x:c>
      <x:c r="H8" s="100" t="str">
        <x:v>Dense but posting down clusters</x:v>
      </x:c>
      <x:c r="I8" s="100" t="str">
        <x:v>High density, low posts/user</x:v>
      </x:c>
      <x:c r="J8" s="100" t="str">
        <x:v>Community-specific prompts / weekly challenges</x:v>
      </x:c>
      <x:c r="K8" s="100" t="str">
        <x:v>CRM/Growth</x:v>
      </x:c>
      <x:c r="L8" s="100" t="str">
        <x:v>+0.2 posts/user</x:v>
      </x:c>
      <x:c r="M8" s="100" t="str">
        <x:v>Next sprint</x:v>
      </x:c>
      <x:c r="N8" s="100" t="str">
        <x:v>Backlog</x:v>
      </x:c>
      <x:c r="O8" s="100" t="str">
        <x:v>Dashboard detects anomaly and creates hypothesis</x:v>
      </x:c>
    </x:row>
    <x:row r="9">
      <x:c r="A9" s="98" t="str">
        <x:v>% with ≥3 active friends</x:v>
      </x:c>
      <x:c r="B9" s="132" t="n">
        <x:f>AVERAGE('Network Quality'!G4:G12)</x:f>
        <x:v>0.5077777777777778</x:v>
      </x:c>
      <x:c r="C9" s="132" t="n">
        <x:v>0.55</x:v>
      </x:c>
      <x:c r="D9" s="98" t="str">
        <x:f>IF(B9&gt;=C9,"On track","Needs density")</x:f>
        <x:v>Needs density</x:v>
      </x:c>
      <x:c r="E9" s="98" t="str">
        <x:v>Are networks meaningful?</x:v>
      </x:c>
      <x:c r="F9" s="100"/>
      <x:c r="G9" s="100"/>
      <x:c r="H9" s="100"/>
      <x:c r="I9" s="100"/>
      <x:c r="J9" s="100"/>
      <x:c r="K9" s="100"/>
      <x:c r="L9" s="100"/>
      <x:c r="M9" s="100"/>
      <x:c r="N9" s="100"/>
      <x:c r="O9" s="100"/>
    </x:row>
    <x:row r="10">
      <x:c r="A10" s="98" t="str">
        <x:v>Best acquisition quality score</x:v>
      </x:c>
      <x:c r="B10" s="101" t="n">
        <x:f>MAX('Acquisition Quality'!O4:O11)</x:f>
        <x:v>57.3</x:v>
      </x:c>
      <x:c r="C10" s="101" t="n">
        <x:v>60</x:v>
      </x:c>
      <x:c r="D10" s="98" t="str">
        <x:f>IF(B10&gt;=C10,"Scale winners","Keep testing")</x:f>
        <x:v>Keep testing</x:v>
      </x:c>
      <x:c r="E10" s="98" t="str">
        <x:v>Are we buying quality, not volume?</x:v>
      </x:c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0"/>
    </x:row>
    <x:row r="11">
      <x:c r="A11" s="98" t="str">
        <x:v>Paid-equivalent CAC</x:v>
      </x:c>
      <x:c r="B11" s="102" t="n">
        <x:f>AVERAGE('Acquisition Quality'!M4:M11)</x:f>
        <x:v>2.420511406740807</x:v>
      </x:c>
      <x:c r="C11" s="102" t="n">
        <x:v>4</x:v>
      </x:c>
      <x:c r="D11" s="98" t="str">
        <x:f>IF(B11&lt;=C11,"Efficient","Too high")</x:f>
        <x:v>Efficient</x:v>
      </x:c>
      <x:c r="E11" s="98" t="str">
        <x:v>Virality-adjusted acquisition efficiency.</x:v>
      </x:c>
      <x:c r="F11" s="100"/>
      <x:c r="G11" s="100"/>
      <x:c r="H11" s="100"/>
      <x:c r="I11" s="100"/>
      <x:c r="J11" s="100"/>
      <x:c r="K11" s="100"/>
      <x:c r="L11" s="100"/>
      <x:c r="M11" s="100"/>
      <x:c r="N11" s="100"/>
      <x:c r="O11" s="100"/>
    </x:row>
    <x:row r="12">
      <x:c r="A12" s="57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</x:row>
    <x:row r="13">
      <x:c r="A13" s="103" t="str">
        <x:v>How I would read this</x:v>
      </x:c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</x:row>
    <x:row r="14">
      <x:c r="A14" s="104" t="str">
        <x:v>1</x:v>
      </x:c>
      <x:c r="B14" s="105" t="str">
        <x:v>Participation</x:v>
      </x:c>
      <x:c r="C14" s="105" t="str">
        <x:v>Are users completing the BeReal loop after the push?</x:v>
      </x:c>
      <x:c r="D14" s="105" t="str">
        <x:v>Core Loop Health</x:v>
      </x:c>
      <x:c r="E14" s="105" t="str">
        <x:v>If weak: fix product/notification/onboarding before scaling UA.</x:v>
      </x:c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</x:row>
    <x:row r="15">
      <x:c r="A15" s="104" t="str">
        <x:v>2</x:v>
      </x:c>
      <x:c r="B15" s="105" t="str">
        <x:v>Network quality</x:v>
      </x:c>
      <x:c r="C15" s="105" t="str">
        <x:v>Do new users have enough active friends / real clusters?</x:v>
      </x:c>
      <x:c r="D15" s="105" t="str">
        <x:v>Network Quality</x:v>
      </x:c>
      <x:c r="E15" s="105" t="str">
        <x:v>If weak: seed local communities, connectors, campus/clubs.</x:v>
      </x:c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</x:row>
    <x:row r="16">
      <x:c r="A16" s="104" t="str">
        <x:v>3</x:v>
      </x:c>
      <x:c r="B16" s="105" t="str">
        <x:v>Acquisition quality</x:v>
      </x:c>
      <x:c r="C16" s="105" t="str">
        <x:v>Which sources create retained, connected users?</x:v>
      </x:c>
      <x:c r="D16" s="105" t="str">
        <x:v>Acquisition Quality</x:v>
      </x:c>
      <x:c r="E16" s="105" t="str">
        <x:v>Scale only where activation + D7 + K-factor are healthy.</x:v>
      </x:c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</x:row>
    <x:row r="17">
      <x:c r="A17" s="104" t="str">
        <x:v>4</x:v>
      </x:c>
      <x:c r="B17" s="105" t="str">
        <x:v>Action layer</x:v>
      </x:c>
      <x:c r="C17" s="105" t="str">
        <x:v>What experiment should we run next?</x:v>
      </x:c>
      <x:c r="D17" s="105" t="str">
        <x:v>Alerts</x:v>
      </x:c>
      <x:c r="E17" s="105" t="str">
        <x:v>Dashboard should end in decisions, not just reporting.</x:v>
      </x:c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</x:row>
    <x:row r="18">
      <x:c r="A18" s="104" t="str">
        <x:v>Note</x:v>
      </x:c>
      <x:c r="B18" s="105" t="str">
        <x:v>Data status</x:v>
      </x:c>
      <x:c r="C18" s="105" t="str">
        <x:v>Illustrative numbers, not BeReal internal data.</x:v>
      </x:c>
      <x:c r="D18" s="105" t="str">
        <x:v>All tabs</x:v>
      </x:c>
      <x:c r="E18" s="105" t="str">
        <x:v>Real version would plug into events, friend graph, cohorts and spend tables.</x:v>
      </x:c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</x:row>
    <x:row r="50">
      <x:c r="A50" s="129" t="str">
        <x:v>Note: sample numbers are illustrative; the main goal is to show the metric logic, formulas and decision flow.</x:v>
      </x:c>
    </x:row>
  </x:sheetData>
  <x:mergeCells>
    <x:mergeCell ref="A1:O1"/>
    <x:mergeCell ref="A3:E3"/>
    <x:mergeCell ref="A13:E13"/>
  </x:mergeCells>
  <x:conditionalFormatting sqref="D5:D11">
    <x:cfRule type="expression" dxfId="0" priority="1">
      <x:formula>D5="On track"</x:formula>
    </x:cfRule>
    <x:cfRule type="expression" dxfId="1" priority="2">
      <x:formula>OR(D5="Needs work",D5="Needs density",D5="Too high")</x:formula>
    </x:cfRule>
  </x:conditionalFormatting>
  <x:pageMargins left="0.7" right="0.7" top="0.75" bottom="0.75" header="0.3" footer="0.3"/>
  <x:drawing xmlns:r="http://schemas.openxmlformats.org/officeDocument/2006/relationships" r:id="Rcb66c0ac9d3549c5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6" customHeight="1">
      <x:c r="A1" s="115" t="str">
        <x:v>Core loop health — push → post → view → react → return</x:v>
      </x:c>
      <x:c r="B1" s="116"/>
      <x:c r="C1" s="116"/>
      <x:c r="D1" s="116"/>
      <x:c r="E1" s="116"/>
      <x:c r="F1" s="116"/>
      <x:c r="G1" s="116"/>
      <x:c r="H1" s="116"/>
      <x:c r="I1" s="116"/>
      <x:c r="J1" s="116"/>
      <x:c r="K1" s="116"/>
      <x:c r="L1" s="116"/>
      <x:c r="M1" s="116"/>
      <x:c r="N1" s="58"/>
      <x:c r="O1" s="58"/>
      <x:c r="P1" s="58"/>
      <x:c r="Q1" s="58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6" customHeight="1">
      <x:c r="A2" s="75" t="str">
        <x:v>Illustrative weekly cohorts. The point is to see where the loop breaks: notification/open, first post, reaction/social feedback, or D7 habit.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</x:row>
    <x:row r="3">
      <x:c r="A3" s="85" t="str">
        <x:v>Week</x:v>
      </x:c>
      <x:c r="B3" s="85" t="str">
        <x:v>New Installs</x:v>
      </x:c>
      <x:c r="C3" s="85" t="str">
        <x:v>Activated Users</x:v>
      </x:c>
      <x:c r="D3" s="85" t="str">
        <x:v>Activation Rate</x:v>
      </x:c>
      <x:c r="E3" s="85" t="str">
        <x:v>Users w/ 1st Post</x:v>
      </x:c>
      <x:c r="F3" s="85" t="str">
        <x:v>First Post Rate</x:v>
      </x:c>
      <x:c r="G3" s="85" t="str">
        <x:v>DAU</x:v>
      </x:c>
      <x:c r="H3" s="85" t="str">
        <x:v>WAU</x:v>
      </x:c>
      <x:c r="I3" s="85" t="str">
        <x:v>DAU/WAU</x:v>
      </x:c>
      <x:c r="J3" s="85" t="str">
        <x:v>Push Open Rate</x:v>
      </x:c>
      <x:c r="K3" s="85" t="str">
        <x:v>Avg Interactions/Post</x:v>
      </x:c>
      <x:c r="L3" s="85" t="str">
        <x:v>D1 Retention</x:v>
      </x:c>
      <x:c r="M3" s="85" t="str">
        <x:v>D7 Retention</x:v>
      </x:c>
    </x:row>
    <x:row r="4">
      <x:c r="A4" s="111" t="n">
        <x:v>46027</x:v>
      </x:c>
      <x:c r="B4" s="93" t="n">
        <x:v>42000</x:v>
      </x:c>
      <x:c r="C4" s="93" t="n">
        <x:v>15120</x:v>
      </x:c>
      <x:c r="D4" s="112" t="n">
        <x:f>IFERROR(C4/B4,0)</x:f>
        <x:v>0.36</x:v>
      </x:c>
      <x:c r="E4" s="93" t="n">
        <x:v>10886</x:v>
      </x:c>
      <x:c r="F4" s="112" t="n">
        <x:f>IFERROR(E4/C4,0)</x:f>
        <x:v>0.7199735449735449</x:v>
      </x:c>
      <x:c r="G4" s="93" t="n">
        <x:v>7182</x:v>
      </x:c>
      <x:c r="H4" s="93" t="n">
        <x:v>28728</x:v>
      </x:c>
      <x:c r="I4" s="112" t="n">
        <x:f>IFERROR(G4/H4,0)</x:f>
        <x:v>0.25</x:v>
      </x:c>
      <x:c r="J4" s="112" t="n">
        <x:v>0.42</x:v>
      </x:c>
      <x:c r="K4" s="113" t="n">
        <x:v>3.1</x:v>
      </x:c>
      <x:c r="L4" s="112" t="n">
        <x:v>0.31</x:v>
      </x:c>
      <x:c r="M4" s="112" t="n">
        <x:v>0.16</x:v>
      </x:c>
    </x:row>
    <x:row r="5">
      <x:c r="A5" s="111" t="n">
        <x:v>46034</x:v>
      </x:c>
      <x:c r="B5" s="93" t="n">
        <x:v>45400</x:v>
      </x:c>
      <x:c r="C5" s="93" t="n">
        <x:v>16798</x:v>
      </x:c>
      <x:c r="D5" s="112" t="n">
        <x:f>IFERROR(C5/B5,0)</x:f>
        <x:v>0.37</x:v>
      </x:c>
      <x:c r="E5" s="93" t="n">
        <x:v>12161</x:v>
      </x:c>
      <x:c r="F5" s="112" t="n">
        <x:f>IFERROR(E5/C5,0)</x:f>
        <x:v>0.7239552327658054</x:v>
      </x:c>
      <x:c r="G5" s="93" t="n">
        <x:v>8905</x:v>
      </x:c>
      <x:c r="H5" s="93" t="n">
        <x:v>34516</x:v>
      </x:c>
      <x:c r="I5" s="112" t="n">
        <x:f>IFERROR(G5/H5,0)</x:f>
        <x:v>0.25799629157492177</x:v>
      </x:c>
      <x:c r="J5" s="112" t="n">
        <x:v>0.429</x:v>
      </x:c>
      <x:c r="K5" s="113" t="n">
        <x:v>3.25</x:v>
      </x:c>
      <x:c r="L5" s="112" t="n">
        <x:v>0.318</x:v>
      </x:c>
      <x:c r="M5" s="112" t="n">
        <x:v>0.167</x:v>
      </x:c>
    </x:row>
    <x:row r="6">
      <x:c r="A6" s="111" t="n">
        <x:v>46041</x:v>
      </x:c>
      <x:c r="B6" s="93" t="n">
        <x:v>48800</x:v>
      </x:c>
      <x:c r="C6" s="93" t="n">
        <x:v>18544</x:v>
      </x:c>
      <x:c r="D6" s="112" t="n">
        <x:f>IFERROR(C6/B6,0)</x:f>
        <x:v>0.38</x:v>
      </x:c>
      <x:c r="E6" s="93" t="n">
        <x:v>13500</x:v>
      </x:c>
      <x:c r="F6" s="112" t="n">
        <x:f>IFERROR(E6/C6,0)</x:f>
        <x:v>0.7279982743744607</x:v>
      </x:c>
      <x:c r="G6" s="93" t="n">
        <x:v>10755</x:v>
      </x:c>
      <x:c r="H6" s="93" t="n">
        <x:v>40433</x:v>
      </x:c>
      <x:c r="I6" s="112" t="n">
        <x:f>IFERROR(G6/H6,0)</x:f>
        <x:v>0.2659955976553805</x:v>
      </x:c>
      <x:c r="J6" s="112" t="n">
        <x:v>0.438</x:v>
      </x:c>
      <x:c r="K6" s="113" t="n">
        <x:v>3.4</x:v>
      </x:c>
      <x:c r="L6" s="112" t="n">
        <x:v>0.326</x:v>
      </x:c>
      <x:c r="M6" s="112" t="n">
        <x:v>0.17400000000000002</x:v>
      </x:c>
    </x:row>
    <x:row r="7">
      <x:c r="A7" s="111" t="n">
        <x:v>46048</x:v>
      </x:c>
      <x:c r="B7" s="93" t="n">
        <x:v>48600</x:v>
      </x:c>
      <x:c r="C7" s="93" t="n">
        <x:v>18954</x:v>
      </x:c>
      <x:c r="D7" s="112" t="n">
        <x:f>IFERROR(C7/B7,0)</x:f>
        <x:v>0.39</x:v>
      </x:c>
      <x:c r="E7" s="93" t="n">
        <x:v>13874</x:v>
      </x:c>
      <x:c r="F7" s="112" t="n">
        <x:f>IFERROR(E7/C7,0)</x:f>
        <x:v>0.7319826949456579</x:v>
      </x:c>
      <x:c r="G7" s="93" t="n">
        <x:v>12004</x:v>
      </x:c>
      <x:c r="H7" s="93" t="n">
        <x:v>43812</x:v>
      </x:c>
      <x:c r="I7" s="112" t="n">
        <x:f>IFERROR(G7/H7,0)</x:f>
        <x:v>0.27398886149913265</x:v>
      </x:c>
      <x:c r="J7" s="112" t="n">
        <x:v>0.44699999999999995</x:v>
      </x:c>
      <x:c r="K7" s="113" t="n">
        <x:v>3.55</x:v>
      </x:c>
      <x:c r="L7" s="112" t="n">
        <x:v>0.334</x:v>
      </x:c>
      <x:c r="M7" s="112" t="n">
        <x:v>0.181</x:v>
      </x:c>
    </x:row>
    <x:row r="8">
      <x:c r="A8" s="111" t="n">
        <x:v>46055</x:v>
      </x:c>
      <x:c r="B8" s="93" t="n">
        <x:v>52000</x:v>
      </x:c>
      <x:c r="C8" s="93" t="n">
        <x:v>20800</x:v>
      </x:c>
      <x:c r="D8" s="112" t="n">
        <x:f>IFERROR(C8/B8,0)</x:f>
        <x:v>0.4</x:v>
      </x:c>
      <x:c r="E8" s="93" t="n">
        <x:v>15308</x:v>
      </x:c>
      <x:c r="F8" s="112" t="n">
        <x:f>IFERROR(E8/C8,0)</x:f>
        <x:v>0.7359615384615384</x:v>
      </x:c>
      <x:c r="G8" s="93" t="n">
        <x:v>14077</x:v>
      </x:c>
      <x:c r="H8" s="93" t="n">
        <x:v>49920</x:v>
      </x:c>
      <x:c r="I8" s="112" t="n">
        <x:f>IFERROR(G8/H8,0)</x:f>
        <x:v>0.2819911858974359</x:v>
      </x:c>
      <x:c r="J8" s="112" t="n">
        <x:v>0.45599999999999996</x:v>
      </x:c>
      <x:c r="K8" s="113" t="n">
        <x:v>3.7</x:v>
      </x:c>
      <x:c r="L8" s="112" t="n">
        <x:v>0.34199999999999997</x:v>
      </x:c>
      <x:c r="M8" s="112" t="n">
        <x:v>0.188</x:v>
      </x:c>
    </x:row>
    <x:row r="9">
      <x:c r="A9" s="111" t="n">
        <x:v>46062</x:v>
      </x:c>
      <x:c r="B9" s="93" t="n">
        <x:v>55400</x:v>
      </x:c>
      <x:c r="C9" s="93" t="n">
        <x:v>22714</x:v>
      </x:c>
      <x:c r="D9" s="112" t="n">
        <x:f>IFERROR(C9/B9,0)</x:f>
        <x:v>0.41</x:v>
      </x:c>
      <x:c r="E9" s="93" t="n">
        <x:v>16808</x:v>
      </x:c>
      <x:c r="F9" s="112" t="n">
        <x:f>IFERROR(E9/C9,0)</x:f>
        <x:v>0.7399841507440346</x:v>
      </x:c>
      <x:c r="G9" s="93" t="n">
        <x:v>16285</x:v>
      </x:c>
      <x:c r="H9" s="93" t="n">
        <x:v>56156</x:v>
      </x:c>
      <x:c r="I9" s="112" t="n">
        <x:f>IFERROR(G9/H9,0)</x:f>
        <x:v>0.2899957261913242</x:v>
      </x:c>
      <x:c r="J9" s="112" t="n">
        <x:v>0.46499999999999997</x:v>
      </x:c>
      <x:c r="K9" s="113" t="n">
        <x:v>3.85</x:v>
      </x:c>
      <x:c r="L9" s="112" t="n">
        <x:v>0.35</x:v>
      </x:c>
      <x:c r="M9" s="112" t="n">
        <x:v>0.195</x:v>
      </x:c>
    </x:row>
    <x:row r="10">
      <x:c r="A10" s="111" t="n">
        <x:v>46069</x:v>
      </x:c>
      <x:c r="B10" s="93" t="n">
        <x:v>55200</x:v>
      </x:c>
      <x:c r="C10" s="93" t="n">
        <x:v>23184</x:v>
      </x:c>
      <x:c r="D10" s="112" t="n">
        <x:f>IFERROR(C10/B10,0)</x:f>
        <x:v>0.42</x:v>
      </x:c>
      <x:c r="E10" s="93" t="n">
        <x:v>17248</x:v>
      </x:c>
      <x:c r="F10" s="112" t="n">
        <x:f>IFERROR(E10/C10,0)</x:f>
        <x:v>0.7439613526570048</x:v>
      </x:c>
      <x:c r="G10" s="93" t="n">
        <x:v>17775</x:v>
      </x:c>
      <x:c r="H10" s="93" t="n">
        <x:v>59649</x:v>
      </x:c>
      <x:c r="I10" s="112" t="n">
        <x:f>IFERROR(G10/H10,0)</x:f>
        <x:v>0.29799326057436</x:v>
      </x:c>
      <x:c r="J10" s="112" t="n">
        <x:v>0.474</x:v>
      </x:c>
      <x:c r="K10" s="113" t="n">
        <x:v>4</x:v>
      </x:c>
      <x:c r="L10" s="112" t="n">
        <x:v>0.358</x:v>
      </x:c>
      <x:c r="M10" s="112" t="n">
        <x:v>0.202</x:v>
      </x:c>
    </x:row>
    <x:row r="11">
      <x:c r="A11" s="111" t="n">
        <x:v>46076</x:v>
      </x:c>
      <x:c r="B11" s="93" t="n">
        <x:v>58600</x:v>
      </x:c>
      <x:c r="C11" s="93" t="n">
        <x:v>25198</x:v>
      </x:c>
      <x:c r="D11" s="112" t="n">
        <x:f>IFERROR(C11/B11,0)</x:f>
        <x:v>0.43</x:v>
      </x:c>
      <x:c r="E11" s="93" t="n">
        <x:v>18848</x:v>
      </x:c>
      <x:c r="F11" s="112" t="n">
        <x:f>IFERROR(E11/C11,0)</x:f>
        <x:v>0.7479958726883086</x:v>
      </x:c>
      <x:c r="G11" s="93" t="n">
        <x:v>20219</x:v>
      </x:c>
      <x:c r="H11" s="93" t="n">
        <x:v>66076</x:v>
      </x:c>
      <x:c r="I11" s="112" t="n">
        <x:f>IFERROR(G11/H11,0)</x:f>
        <x:v>0.3059961256734669</x:v>
      </x:c>
      <x:c r="J11" s="112" t="n">
        <x:v>0.483</x:v>
      </x:c>
      <x:c r="K11" s="113" t="n">
        <x:v>4.15</x:v>
      </x:c>
      <x:c r="L11" s="112" t="n">
        <x:v>0.366</x:v>
      </x:c>
      <x:c r="M11" s="112" t="n">
        <x:v>0.20900000000000002</x:v>
      </x:c>
    </x:row>
    <x:row r="12">
      <x:c r="A12" s="111" t="n">
        <x:v>46083</x:v>
      </x:c>
      <x:c r="B12" s="93" t="n">
        <x:v>62000</x:v>
      </x:c>
      <x:c r="C12" s="93" t="n">
        <x:v>27280</x:v>
      </x:c>
      <x:c r="D12" s="112" t="n">
        <x:f>IFERROR(C12/B12,0)</x:f>
        <x:v>0.44</x:v>
      </x:c>
      <x:c r="E12" s="93" t="n">
        <x:v>20514</x:v>
      </x:c>
      <x:c r="F12" s="112" t="n">
        <x:f>IFERROR(E12/C12,0)</x:f>
        <x:v>0.7519794721407624</x:v>
      </x:c>
      <x:c r="G12" s="93" t="n">
        <x:v>22806</x:v>
      </x:c>
      <x:c r="H12" s="93" t="n">
        <x:v>72632</x:v>
      </x:c>
      <x:c r="I12" s="112" t="n">
        <x:f>IFERROR(G12/H12,0)</x:f>
        <x:v>0.31399383191981495</x:v>
      </x:c>
      <x:c r="J12" s="112" t="n">
        <x:v>0.492</x:v>
      </x:c>
      <x:c r="K12" s="113" t="n">
        <x:v>4.3</x:v>
      </x:c>
      <x:c r="L12" s="112" t="n">
        <x:v>0.374</x:v>
      </x:c>
      <x:c r="M12" s="112" t="n">
        <x:v>0.216</x:v>
      </x:c>
    </x:row>
    <x:row r="13">
      <x:c r="A13" s="111" t="n">
        <x:v>46090</x:v>
      </x:c>
      <x:c r="B13" s="93" t="n">
        <x:v>61800</x:v>
      </x:c>
      <x:c r="C13" s="93" t="n">
        <x:v>27809</x:v>
      </x:c>
      <x:c r="D13" s="112" t="n">
        <x:f>IFERROR(C13/B13,0)</x:f>
        <x:v>0.44998381877022653</x:v>
      </x:c>
      <x:c r="E13" s="93" t="n">
        <x:v>21023</x:v>
      </x:c>
      <x:c r="F13" s="112" t="n">
        <x:f>IFERROR(E13/C13,0)</x:f>
        <x:v>0.755978280412816</x:v>
      </x:c>
      <x:c r="G13" s="93" t="n">
        <x:v>24548</x:v>
      </x:c>
      <x:c r="H13" s="93" t="n">
        <x:v>76237</x:v>
      </x:c>
      <x:c r="I13" s="112" t="n">
        <x:f>IFERROR(G13/H13,0)</x:f>
        <x:v>0.32199588126500256</x:v>
      </x:c>
      <x:c r="J13" s="112" t="n">
        <x:v>0.501</x:v>
      </x:c>
      <x:c r="K13" s="113" t="n">
        <x:v>4.45</x:v>
      </x:c>
      <x:c r="L13" s="112" t="n">
        <x:v>0.382</x:v>
      </x:c>
      <x:c r="M13" s="112" t="n">
        <x:v>0.223</x:v>
      </x:c>
    </x:row>
    <x:row r="14">
      <x:c r="A14" s="111" t="n">
        <x:v>46097</x:v>
      </x:c>
      <x:c r="B14" s="93" t="n">
        <x:v>65200</x:v>
      </x:c>
      <x:c r="C14" s="93" t="n">
        <x:v>29991</x:v>
      </x:c>
      <x:c r="D14" s="112" t="n">
        <x:f>IFERROR(C14/B14,0)</x:f>
        <x:v>0.45998466257668713</x:v>
      </x:c>
      <x:c r="E14" s="93" t="n">
        <x:v>22793</x:v>
      </x:c>
      <x:c r="F14" s="112" t="n">
        <x:f>IFERROR(E14/C14,0)</x:f>
        <x:v>0.7599946650661865</x:v>
      </x:c>
      <x:c r="G14" s="93" t="n">
        <x:v>27384</x:v>
      </x:c>
      <x:c r="H14" s="93" t="n">
        <x:v>82982</x:v>
      </x:c>
      <x:c r="I14" s="112" t="n">
        <x:f>IFERROR(G14/H14,0)</x:f>
        <x:v>0.32999927695162806</x:v>
      </x:c>
      <x:c r="J14" s="112" t="n">
        <x:v>0.51</x:v>
      </x:c>
      <x:c r="K14" s="113" t="n">
        <x:v>4.6</x:v>
      </x:c>
      <x:c r="L14" s="112" t="n">
        <x:v>0.39</x:v>
      </x:c>
      <x:c r="M14" s="112" t="n">
        <x:v>0.23</x:v>
      </x:c>
    </x:row>
    <x:row r="15">
      <x:c r="A15" s="111" t="n">
        <x:v>46104</x:v>
      </x:c>
      <x:c r="B15" s="93" t="n">
        <x:v>68600</x:v>
      </x:c>
      <x:c r="C15" s="93" t="n">
        <x:v>32241</x:v>
      </x:c>
      <x:c r="D15" s="112" t="n">
        <x:f>IFERROR(C15/B15,0)</x:f>
        <x:v>0.4699854227405248</x:v>
      </x:c>
      <x:c r="E15" s="93" t="n">
        <x:v>24632</x:v>
      </x:c>
      <x:c r="F15" s="112" t="n">
        <x:f>IFERROR(E15/C15,0)</x:f>
        <x:v>0.7639961539654477</x:v>
      </x:c>
      <x:c r="G15" s="93" t="n">
        <x:v>30371</x:v>
      </x:c>
      <x:c r="H15" s="93" t="n">
        <x:v>89857</x:v>
      </x:c>
      <x:c r="I15" s="112" t="n">
        <x:f>IFERROR(G15/H15,0)</x:f>
        <x:v>0.3379925882235107</x:v>
      </x:c>
      <x:c r="J15" s="112" t="n">
        <x:v>0.519</x:v>
      </x:c>
      <x:c r="K15" s="113" t="n">
        <x:v>4.75</x:v>
      </x:c>
      <x:c r="L15" s="112" t="n">
        <x:v>0.398</x:v>
      </x:c>
      <x:c r="M15" s="112" t="n">
        <x:v>0.237</x:v>
      </x:c>
    </x:row>
    <x:row r="17">
      <x:c r="A17" s="129" t="str">
        <x:v>Note: sample numbers are illustrative; the main goal is to show the metric logic, formulas and decision flow.</x:v>
      </x:c>
    </x:row>
  </x:sheetData>
  <x:mergeCells>
    <x:mergeCell ref="A1:M1"/>
  </x:mergeCells>
  <x:pageMargins left="0.7" right="0.7" top="0.75" bottom="0.75" header="0.3" footer="0.3"/>
  <x:drawing xmlns:r="http://schemas.openxmlformats.org/officeDocument/2006/relationships" r:id="Red23dc1311cf4327"/>
  <x:tableParts count="1">
    <x:tablePart xmlns:r="http://schemas.openxmlformats.org/officeDocument/2006/relationships" r:id="Rf3a49b2fda93469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8" hidden="0" customWidth="1"/>
  </x:cols>
  <x:sheetData>
    <x:row r="1" ht="36" customHeight="1">
      <x:c r="A1" s="115" t="str">
        <x:v>Network quality — density by real-world cluster, not demographic targeting</x:v>
      </x:c>
      <x:c r="B1" s="116"/>
      <x:c r="C1" s="116"/>
      <x:c r="D1" s="116"/>
      <x:c r="E1" s="116"/>
      <x:c r="F1" s="116"/>
      <x:c r="G1" s="116"/>
      <x:c r="H1" s="116"/>
      <x:c r="I1" s="116"/>
      <x:c r="J1" s="116"/>
      <x:c r="K1" s="116"/>
      <x:c r="L1" s="116"/>
      <x:c r="M1" s="58"/>
      <x:c r="N1" s="58"/>
      <x:c r="O1" s="58"/>
      <x:c r="P1" s="58"/>
      <x:c r="Q1" s="58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6" customHeight="1">
      <x:c r="A2" s="75" t="str">
        <x:v>This is the part I would over-index on for BeReal: a user without an active network has almost no product value, so clusters/density matter more than raw signups.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</x:row>
    <x:row r="3">
      <x:c r="A3" s="85" t="str">
        <x:v>Cluster</x:v>
      </x:c>
      <x:c r="B3" s="85" t="str">
        <x:v>Type</x:v>
      </x:c>
      <x:c r="C3" s="85" t="str">
        <x:v>Platform</x:v>
      </x:c>
      <x:c r="D3" s="85" t="str">
        <x:v>New Users</x:v>
      </x:c>
      <x:c r="E3" s="85" t="str">
        <x:v>Active Users</x:v>
      </x:c>
      <x:c r="F3" s="85" t="str">
        <x:v>Avg Active Friends</x:v>
      </x:c>
      <x:c r="G3" s="85" t="str">
        <x:v>% with ≥3 Active Friends</x:v>
      </x:c>
      <x:c r="H3" s="85" t="str">
        <x:v>Median Friend Count</x:v>
      </x:c>
      <x:c r="I3" s="85" t="str">
        <x:v>Cluster Density</x:v>
      </x:c>
      <x:c r="J3" s="85" t="str">
        <x:v>D7 Retention</x:v>
      </x:c>
      <x:c r="K3" s="85" t="str">
        <x:v>Posts/User</x:v>
      </x:c>
      <x:c r="L3" s="85" t="str">
        <x:v>Priority</x:v>
      </x:c>
    </x:row>
    <x:row r="4">
      <x:c r="A4" s="93" t="str">
        <x:v>NYC run clubs</x:v>
      </x:c>
      <x:c r="B4" s="93" t="str">
        <x:v>Running clubs</x:v>
      </x:c>
      <x:c r="C4" s="93" t="str">
        <x:v>iOS</x:v>
      </x:c>
      <x:c r="D4" s="93" t="n">
        <x:v>5400</x:v>
      </x:c>
      <x:c r="E4" s="93" t="n">
        <x:v>3100</x:v>
      </x:c>
      <x:c r="F4" s="113" t="n">
        <x:v>4.8</x:v>
      </x:c>
      <x:c r="G4" s="112" t="n">
        <x:v>0.62</x:v>
      </x:c>
      <x:c r="H4" s="93" t="n">
        <x:v>8</x:v>
      </x:c>
      <x:c r="I4" s="112" t="n">
        <x:v>0.41</x:v>
      </x:c>
      <x:c r="J4" s="112" t="n">
        <x:v>0.31</x:v>
      </x:c>
      <x:c r="K4" s="113" t="n">
        <x:v>1.8</x:v>
      </x:c>
      <x:c r="L4" s="93" t="str">
        <x:v>Scale</x:v>
      </x:c>
    </x:row>
    <x:row r="5">
      <x:c r="A5" s="93" t="str">
        <x:v>London university towns</x:v>
      </x:c>
      <x:c r="B5" s="93" t="str">
        <x:v>University</x:v>
      </x:c>
      <x:c r="C5" s="93" t="str">
        <x:v>iOS</x:v>
      </x:c>
      <x:c r="D5" s="93" t="n">
        <x:v>7600</x:v>
      </x:c>
      <x:c r="E5" s="93" t="n">
        <x:v>3800</x:v>
      </x:c>
      <x:c r="F5" s="113" t="n">
        <x:v>3.7</x:v>
      </x:c>
      <x:c r="G5" s="112" t="n">
        <x:v>0.54</x:v>
      </x:c>
      <x:c r="H5" s="93" t="n">
        <x:v>6</x:v>
      </x:c>
      <x:c r="I5" s="112" t="n">
        <x:v>0.36</x:v>
      </x:c>
      <x:c r="J5" s="112" t="n">
        <x:v>0.27</x:v>
      </x:c>
      <x:c r="K5" s="113" t="n">
        <x:v>1.5</x:v>
      </x:c>
      <x:c r="L5" s="93" t="str">
        <x:v>Improve onboarding</x:v>
      </x:c>
    </x:row>
    <x:row r="6">
      <x:c r="A6" s="93" t="str">
        <x:v>Berlin music festivals</x:v>
      </x:c>
      <x:c r="B6" s="93" t="str">
        <x:v>Music festivals</x:v>
      </x:c>
      <x:c r="C6" s="93" t="str">
        <x:v>Android</x:v>
      </x:c>
      <x:c r="D6" s="93" t="n">
        <x:v>4300</x:v>
      </x:c>
      <x:c r="E6" s="93" t="n">
        <x:v>1900</x:v>
      </x:c>
      <x:c r="F6" s="113" t="n">
        <x:v>2.4</x:v>
      </x:c>
      <x:c r="G6" s="112" t="n">
        <x:v>0.34</x:v>
      </x:c>
      <x:c r="H6" s="93" t="n">
        <x:v>4</x:v>
      </x:c>
      <x:c r="I6" s="112" t="n">
        <x:v>0.22</x:v>
      </x:c>
      <x:c r="J6" s="112" t="n">
        <x:v>0.16</x:v>
      </x:c>
      <x:c r="K6" s="113" t="n">
        <x:v>0.9</x:v>
      </x:c>
      <x:c r="L6" s="93" t="str">
        <x:v>Fix density</x:v>
      </x:c>
    </x:row>
    <x:row r="7">
      <x:c r="A7" s="93" t="str">
        <x:v>Paris book clubs</x:v>
      </x:c>
      <x:c r="B7" s="93" t="str">
        <x:v>Book clubs</x:v>
      </x:c>
      <x:c r="C7" s="93" t="str">
        <x:v>iOS</x:v>
      </x:c>
      <x:c r="D7" s="93" t="n">
        <x:v>2800</x:v>
      </x:c>
      <x:c r="E7" s="93" t="n">
        <x:v>1700</x:v>
      </x:c>
      <x:c r="F7" s="113" t="n">
        <x:v>5.2</x:v>
      </x:c>
      <x:c r="G7" s="112" t="n">
        <x:v>0.68</x:v>
      </x:c>
      <x:c r="H7" s="93" t="n">
        <x:v>9</x:v>
      </x:c>
      <x:c r="I7" s="112" t="n">
        <x:v>0.47</x:v>
      </x:c>
      <x:c r="J7" s="112" t="n">
        <x:v>0.34</x:v>
      </x:c>
      <x:c r="K7" s="113" t="n">
        <x:v>2.1</x:v>
      </x:c>
      <x:c r="L7" s="93" t="str">
        <x:v>Scale</x:v>
      </x:c>
    </x:row>
    <x:row r="8">
      <x:c r="A8" s="93" t="str">
        <x:v>LA college clubs</x:v>
      </x:c>
      <x:c r="B8" s="93" t="str">
        <x:v>University</x:v>
      </x:c>
      <x:c r="C8" s="93" t="str">
        <x:v>Android</x:v>
      </x:c>
      <x:c r="D8" s="93" t="n">
        <x:v>6200</x:v>
      </x:c>
      <x:c r="E8" s="93" t="n">
        <x:v>2700</x:v>
      </x:c>
      <x:c r="F8" s="113" t="n">
        <x:v>2.9</x:v>
      </x:c>
      <x:c r="G8" s="112" t="n">
        <x:v>0.42</x:v>
      </x:c>
      <x:c r="H8" s="93" t="n">
        <x:v>5</x:v>
      </x:c>
      <x:c r="I8" s="112" t="n">
        <x:v>0.29</x:v>
      </x:c>
      <x:c r="J8" s="112" t="n">
        <x:v>0.21</x:v>
      </x:c>
      <x:c r="K8" s="113" t="n">
        <x:v>1.2</x:v>
      </x:c>
      <x:c r="L8" s="93" t="str">
        <x:v>Seed connectors</x:v>
      </x:c>
    </x:row>
    <x:row r="9">
      <x:c r="A9" s="93" t="str">
        <x:v>Madrid football fan groups</x:v>
      </x:c>
      <x:c r="B9" s="93" t="str">
        <x:v>Sports fans</x:v>
      </x:c>
      <x:c r="C9" s="93" t="str">
        <x:v>Android</x:v>
      </x:c>
      <x:c r="D9" s="93" t="n">
        <x:v>3900</x:v>
      </x:c>
      <x:c r="E9" s="93" t="n">
        <x:v>1800</x:v>
      </x:c>
      <x:c r="F9" s="113" t="n">
        <x:v>3.1</x:v>
      </x:c>
      <x:c r="G9" s="112" t="n">
        <x:v>0.45</x:v>
      </x:c>
      <x:c r="H9" s="93" t="n">
        <x:v>5</x:v>
      </x:c>
      <x:c r="I9" s="112" t="n">
        <x:v>0.31</x:v>
      </x:c>
      <x:c r="J9" s="112" t="n">
        <x:v>0.23</x:v>
      </x:c>
      <x:c r="K9" s="113" t="n">
        <x:v>1.3</x:v>
      </x:c>
      <x:c r="L9" s="93" t="str">
        <x:v>Seed connectors</x:v>
      </x:c>
    </x:row>
    <x:row r="10">
      <x:c r="A10" s="93" t="str">
        <x:v>Toronto photography meetups</x:v>
      </x:c>
      <x:c r="B10" s="93" t="str">
        <x:v>Creative communities</x:v>
      </x:c>
      <x:c r="C10" s="93" t="str">
        <x:v>iOS</x:v>
      </x:c>
      <x:c r="D10" s="93" t="n">
        <x:v>2500</x:v>
      </x:c>
      <x:c r="E10" s="93" t="n">
        <x:v>1500</x:v>
      </x:c>
      <x:c r="F10" s="113" t="n">
        <x:v>4.5</x:v>
      </x:c>
      <x:c r="G10" s="112" t="n">
        <x:v>0.59</x:v>
      </x:c>
      <x:c r="H10" s="93" t="n">
        <x:v>7</x:v>
      </x:c>
      <x:c r="I10" s="112" t="n">
        <x:v>0.39</x:v>
      </x:c>
      <x:c r="J10" s="112" t="n">
        <x:v>0.3</x:v>
      </x:c>
      <x:c r="K10" s="113" t="n">
        <x:v>1.7</x:v>
      </x:c>
      <x:c r="L10" s="93" t="str">
        <x:v>Scale</x:v>
      </x:c>
    </x:row>
    <x:row r="11">
      <x:c r="A11" s="93" t="str">
        <x:v>Amsterdam cycling groups</x:v>
      </x:c>
      <x:c r="B11" s="93" t="str">
        <x:v>Cycling groups</x:v>
      </x:c>
      <x:c r="C11" s="93" t="str">
        <x:v>iOS</x:v>
      </x:c>
      <x:c r="D11" s="93" t="n">
        <x:v>3100</x:v>
      </x:c>
      <x:c r="E11" s="93" t="n">
        <x:v>1600</x:v>
      </x:c>
      <x:c r="F11" s="113" t="n">
        <x:v>3.9</x:v>
      </x:c>
      <x:c r="G11" s="112" t="n">
        <x:v>0.56</x:v>
      </x:c>
      <x:c r="H11" s="93" t="n">
        <x:v>6</x:v>
      </x:c>
      <x:c r="I11" s="112" t="n">
        <x:v>0.35</x:v>
      </x:c>
      <x:c r="J11" s="112" t="n">
        <x:v>0.28</x:v>
      </x:c>
      <x:c r="K11" s="113" t="n">
        <x:v>1.6</x:v>
      </x:c>
      <x:c r="L11" s="93" t="str">
        <x:v>Scale</x:v>
      </x:c>
    </x:row>
    <x:row r="12">
      <x:c r="A12" s="93" t="str">
        <x:v>Chicago campus life</x:v>
      </x:c>
      <x:c r="B12" s="93" t="str">
        <x:v>University</x:v>
      </x:c>
      <x:c r="C12" s="93" t="str">
        <x:v>Android</x:v>
      </x:c>
      <x:c r="D12" s="93" t="n">
        <x:v>4700</x:v>
      </x:c>
      <x:c r="E12" s="93" t="n">
        <x:v>1900</x:v>
      </x:c>
      <x:c r="F12" s="113" t="n">
        <x:v>2.6</x:v>
      </x:c>
      <x:c r="G12" s="112" t="n">
        <x:v>0.37</x:v>
      </x:c>
      <x:c r="H12" s="93" t="n">
        <x:v>4</x:v>
      </x:c>
      <x:c r="I12" s="112" t="n">
        <x:v>0.24</x:v>
      </x:c>
      <x:c r="J12" s="112" t="n">
        <x:v>0.18</x:v>
      </x:c>
      <x:c r="K12" s="113" t="n">
        <x:v>1</x:v>
      </x:c>
      <x:c r="L12" s="93" t="str">
        <x:v>Fix density</x:v>
      </x:c>
    </x:row>
    <x:row r="17">
      <x:c r="A17" s="129" t="str">
        <x:v>Note: sample numbers are illustrative; the main goal is to show the metric logic, formulas and decision flow.</x:v>
      </x:c>
    </x:row>
  </x:sheetData>
  <x:mergeCells>
    <x:mergeCell ref="A1:L1"/>
  </x:mergeCells>
  <x:conditionalFormatting sqref="G4:G12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J4:J12">
    <x:cfRule type="colorScale" priority="2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1">
    <x:dataValidation type="list" sqref="L4:L30">
      <x:formula1>"Scale,Improve onboarding,Seed connectors,Fix density"</x:formula1>
    </x:dataValidation>
  </x:dataValidations>
  <x:pageMargins left="0.7" right="0.7" top="0.75" bottom="0.75" header="0.3" footer="0.3"/>
  <x:drawing xmlns:r="http://schemas.openxmlformats.org/officeDocument/2006/relationships" r:id="Re640e135017c4cf7"/>
  <x:tableParts count="1">
    <x:tablePart xmlns:r="http://schemas.openxmlformats.org/officeDocument/2006/relationships" r:id="Rf81608738979446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0" hidden="0" customWidth="1"/>
    <x:col min="17" max="17" width="20" hidden="0" customWidth="1"/>
  </x:cols>
  <x:sheetData>
    <x:row r="1" ht="36" customHeight="1">
      <x:c r="A1" s="115" t="str">
        <x:v>Acquisition quality — decide by retained, connected users, not install volume</x:v>
      </x:c>
      <x:c r="B1" s="116"/>
      <x:c r="C1" s="116"/>
      <x:c r="D1" s="116"/>
      <x:c r="E1" s="116"/>
      <x:c r="F1" s="116"/>
      <x:c r="G1" s="116"/>
      <x:c r="H1" s="116"/>
      <x:c r="I1" s="116"/>
      <x:c r="J1" s="116"/>
      <x:c r="K1" s="116"/>
      <x:c r="L1" s="116"/>
      <x:c r="M1" s="116"/>
      <x:c r="N1" s="116"/>
      <x:c r="O1" s="116"/>
      <x:c r="P1" s="116"/>
      <x:c r="Q1" s="116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6" customHeight="1">
      <x:c r="A2" s="75" t="str">
        <x:v>Spend/source/platform view with sample data. Paid-equivalent CAC adjusts for virality (1 + K-factor), because paid users can create additional organic users.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</x:row>
    <x:row r="3">
      <x:c r="A3" s="85" t="str">
        <x:v>Source</x:v>
      </x:c>
      <x:c r="B3" s="85" t="str">
        <x:v>Platform</x:v>
      </x:c>
      <x:c r="C3" s="85" t="str">
        <x:v>Community Target</x:v>
      </x:c>
      <x:c r="D3" s="85" t="str">
        <x:v>Spend</x:v>
      </x:c>
      <x:c r="E3" s="85" t="str">
        <x:v>Installs</x:v>
      </x:c>
      <x:c r="F3" s="85" t="str">
        <x:v>Activated</x:v>
      </x:c>
      <x:c r="G3" s="85" t="str">
        <x:v>Activation Rate</x:v>
      </x:c>
      <x:c r="H3" s="85" t="str">
        <x:v>First Posters</x:v>
      </x:c>
      <x:c r="I3" s="85" t="str">
        <x:v>First Post Rate</x:v>
      </x:c>
      <x:c r="J3" s="85" t="str">
        <x:v>D7 Retained</x:v>
      </x:c>
      <x:c r="K3" s="85" t="str">
        <x:v>D7 Retention</x:v>
      </x:c>
      <x:c r="L3" s="85" t="str">
        <x:v>K-Factor</x:v>
      </x:c>
      <x:c r="M3" s="85" t="str">
        <x:v>Paid-Equivalent CAC</x:v>
      </x:c>
      <x:c r="N3" s="85" t="str">
        <x:v>CAC</x:v>
      </x:c>
      <x:c r="O3" s="85" t="str">
        <x:v>Quality Score</x:v>
      </x:c>
      <x:c r="P3" s="85" t="str">
        <x:v>Decision</x:v>
      </x:c>
      <x:c r="Q3" s="85" t="str">
        <x:v>Reason</x:v>
      </x:c>
    </x:row>
    <x:row r="4">
      <x:c r="A4" s="93" t="str">
        <x:v>TikTok creators</x:v>
      </x:c>
      <x:c r="B4" s="93" t="str">
        <x:v>iOS</x:v>
      </x:c>
      <x:c r="C4" s="93" t="str">
        <x:v>Run clubs</x:v>
      </x:c>
      <x:c r="D4" s="125" t="n">
        <x:v>38000</x:v>
      </x:c>
      <x:c r="E4" s="93" t="n">
        <x:v>24500</x:v>
      </x:c>
      <x:c r="F4" s="93" t="n">
        <x:v>11600</x:v>
      </x:c>
      <x:c r="G4" s="112" t="n">
        <x:f>IFERROR(F4/E4,0)</x:f>
        <x:v>0.47346938775510206</x:v>
      </x:c>
      <x:c r="H4" s="93" t="n">
        <x:v>8900</x:v>
      </x:c>
      <x:c r="I4" s="112" t="n">
        <x:f>IFERROR(H4/F4,0)</x:f>
        <x:v>0.7672413793103449</x:v>
      </x:c>
      <x:c r="J4" s="93" t="n">
        <x:v>3700</x:v>
      </x:c>
      <x:c r="K4" s="112" t="n">
        <x:f>IFERROR(J4/F4,0)</x:f>
        <x:v>0.31896551724137934</x:v>
      </x:c>
      <x:c r="L4" s="112" t="n">
        <x:v>0.55</x:v>
      </x:c>
      <x:c r="M4" s="126" t="n">
        <x:f>IFERROR(D4/(F4*(1+L4)),0)</x:f>
        <x:v>2.1134593993325916</x:v>
      </x:c>
      <x:c r="N4" s="126" t="n">
        <x:f>IFERROR(D4/F4,0)</x:f>
        <x:v>3.2758620689655173</x:v>
      </x:c>
      <x:c r="O4" s="113" t="n">
        <x:f>ROUND((G4*0.35+I4*0.25+K4*0.3+L4*0.1)*100,1)</x:f>
        <x:v>50.8</x:v>
      </x:c>
      <x:c r="P4" s="93" t="str">
        <x:v>Scale</x:v>
      </x:c>
      <x:c r="Q4" s="93" t="str">
        <x:v>High loop entry and good retention</x:v>
      </x:c>
    </x:row>
    <x:row r="5">
      <x:c r="A5" s="93" t="str">
        <x:v>TikTok creators</x:v>
      </x:c>
      <x:c r="B5" s="93" t="str">
        <x:v>Android</x:v>
      </x:c>
      <x:c r="C5" s="93" t="str">
        <x:v>University towns</x:v>
      </x:c>
      <x:c r="D5" s="125" t="n">
        <x:v>32000</x:v>
      </x:c>
      <x:c r="E5" s="93" t="n">
        <x:v>30000</x:v>
      </x:c>
      <x:c r="F5" s="93" t="n">
        <x:v>11100</x:v>
      </x:c>
      <x:c r="G5" s="112" t="n">
        <x:f>IFERROR(F5/E5,0)</x:f>
        <x:v>0.37</x:v>
      </x:c>
      <x:c r="H5" s="93" t="n">
        <x:v>7600</x:v>
      </x:c>
      <x:c r="I5" s="112" t="n">
        <x:f>IFERROR(H5/F5,0)</x:f>
        <x:v>0.6846846846846847</x:v>
      </x:c>
      <x:c r="J5" s="93" t="n">
        <x:v>2450</x:v>
      </x:c>
      <x:c r="K5" s="112" t="n">
        <x:f>IFERROR(J5/F5,0)</x:f>
        <x:v>0.22072072072072071</x:v>
      </x:c>
      <x:c r="L5" s="112" t="n">
        <x:v>0.5</x:v>
      </x:c>
      <x:c r="M5" s="126" t="n">
        <x:f>IFERROR(D5/(F5*(1+L5)),0)</x:f>
        <x:v>1.921921921921922</x:v>
      </x:c>
      <x:c r="N5" s="126" t="n">
        <x:f>IFERROR(D5/F5,0)</x:f>
        <x:v>2.8828828828828827</x:v>
      </x:c>
      <x:c r="O5" s="113" t="n">
        <x:f>ROUND((G5*0.35+I5*0.25+K5*0.3+L5*0.1)*100,1)</x:f>
        <x:v>41.7</x:v>
      </x:c>
      <x:c r="P5" s="93" t="str">
        <x:v>Optimize</x:v>
      </x:c>
      <x:c r="Q5" s="93" t="str">
        <x:v>Cheap installs, weaker network quality</x:v>
      </x:c>
    </x:row>
    <x:row r="6">
      <x:c r="A6" s="93" t="str">
        <x:v>Meta interest clusters</x:v>
      </x:c>
      <x:c r="B6" s="93" t="str">
        <x:v>iOS</x:v>
      </x:c>
      <x:c r="C6" s="93" t="str">
        <x:v>Book clubs</x:v>
      </x:c>
      <x:c r="D6" s="125" t="n">
        <x:v>42000</x:v>
      </x:c>
      <x:c r="E6" s="93" t="n">
        <x:v>21000</x:v>
      </x:c>
      <x:c r="F6" s="93" t="n">
        <x:v>9900</x:v>
      </x:c>
      <x:c r="G6" s="112" t="n">
        <x:f>IFERROR(F6/E6,0)</x:f>
        <x:v>0.4714285714285714</x:v>
      </x:c>
      <x:c r="H6" s="93" t="n">
        <x:v>7900</x:v>
      </x:c>
      <x:c r="I6" s="112" t="n">
        <x:f>IFERROR(H6/F6,0)</x:f>
        <x:v>0.797979797979798</x:v>
      </x:c>
      <x:c r="J6" s="93" t="n">
        <x:v>3400</x:v>
      </x:c>
      <x:c r="K6" s="112" t="n">
        <x:f>IFERROR(J6/F6,0)</x:f>
        <x:v>0.3434343434343434</x:v>
      </x:c>
      <x:c r="L6" s="112" t="n">
        <x:v>0.48</x:v>
      </x:c>
      <x:c r="M6" s="126" t="n">
        <x:f>IFERROR(D6/(F6*(1+L6)),0)</x:f>
        <x:v>2.8665028665028665</x:v>
      </x:c>
      <x:c r="N6" s="126" t="n">
        <x:f>IFERROR(D6/F6,0)</x:f>
        <x:v>4.242424242424242</x:v>
      </x:c>
      <x:c r="O6" s="113" t="n">
        <x:f>ROUND((G6*0.35+I6*0.25+K6*0.3+L6*0.1)*100,1)</x:f>
        <x:v>51.6</x:v>
      </x:c>
      <x:c r="P6" s="93" t="str">
        <x:v>Scale</x:v>
      </x:c>
      <x:c r="Q6" s="93" t="str">
        <x:v>Strong first-post and D7 retention</x:v>
      </x:c>
    </x:row>
    <x:row r="7">
      <x:c r="A7" s="93" t="str">
        <x:v>Meta interest clusters</x:v>
      </x:c>
      <x:c r="B7" s="93" t="str">
        <x:v>Android</x:v>
      </x:c>
      <x:c r="C7" s="93" t="str">
        <x:v>Music festivals</x:v>
      </x:c>
      <x:c r="D7" s="125" t="n">
        <x:v>36000</x:v>
      </x:c>
      <x:c r="E7" s="93" t="n">
        <x:v>27000</x:v>
      </x:c>
      <x:c r="F7" s="93" t="n">
        <x:v>8500</x:v>
      </x:c>
      <x:c r="G7" s="112" t="n">
        <x:f>IFERROR(F7/E7,0)</x:f>
        <x:v>0.3148148148148148</x:v>
      </x:c>
      <x:c r="H7" s="93" t="n">
        <x:v>5200</x:v>
      </x:c>
      <x:c r="I7" s="112" t="n">
        <x:f>IFERROR(H7/F7,0)</x:f>
        <x:v>0.611764705882353</x:v>
      </x:c>
      <x:c r="J7" s="93" t="n">
        <x:v>1500</x:v>
      </x:c>
      <x:c r="K7" s="112" t="n">
        <x:f>IFERROR(J7/F7,0)</x:f>
        <x:v>0.17647058823529413</x:v>
      </x:c>
      <x:c r="L7" s="112" t="n">
        <x:v>0.42</x:v>
      </x:c>
      <x:c r="M7" s="126" t="n">
        <x:f>IFERROR(D7/(F7*(1+L7)),0)</x:f>
        <x:v>2.9826014913007457</x:v>
      </x:c>
      <x:c r="N7" s="126" t="n">
        <x:f>IFERROR(D7/F7,0)</x:f>
        <x:v>4.235294117647059</x:v>
      </x:c>
      <x:c r="O7" s="113" t="n">
        <x:f>ROUND((G7*0.35+I7*0.25+K7*0.3+L7*0.1)*100,1)</x:f>
        <x:v>35.8</x:v>
      </x:c>
      <x:c r="P7" s="93" t="str">
        <x:v>Pause/fix</x:v>
      </x:c>
      <x:c r="Q7" s="93" t="str">
        <x:v>Low activation and D7 retention</x:v>
      </x:c>
    </x:row>
    <x:row r="8">
      <x:c r="A8" s="93" t="str">
        <x:v>Campus ambassadors</x:v>
      </x:c>
      <x:c r="B8" s="93" t="str">
        <x:v>iOS</x:v>
      </x:c>
      <x:c r="C8" s="93" t="str">
        <x:v>Universities</x:v>
      </x:c>
      <x:c r="D8" s="125" t="n">
        <x:v>18000</x:v>
      </x:c>
      <x:c r="E8" s="93" t="n">
        <x:v>9200</x:v>
      </x:c>
      <x:c r="F8" s="93" t="n">
        <x:v>5200</x:v>
      </x:c>
      <x:c r="G8" s="112" t="n">
        <x:f>IFERROR(F8/E8,0)</x:f>
        <x:v>0.5652173913043478</x:v>
      </x:c>
      <x:c r="H8" s="93" t="n">
        <x:v>4100</x:v>
      </x:c>
      <x:c r="I8" s="112" t="n">
        <x:f>IFERROR(H8/F8,0)</x:f>
        <x:v>0.7884615384615384</x:v>
      </x:c>
      <x:c r="J8" s="93" t="n">
        <x:v>1650</x:v>
      </x:c>
      <x:c r="K8" s="112" t="n">
        <x:f>IFERROR(J8/F8,0)</x:f>
        <x:v>0.3173076923076923</x:v>
      </x:c>
      <x:c r="L8" s="112" t="n">
        <x:v>0.7</x:v>
      </x:c>
      <x:c r="M8" s="126" t="n">
        <x:f>IFERROR(D8/(F8*(1+L8)),0)</x:f>
        <x:v>2.0361990950226243</x:v>
      </x:c>
      <x:c r="N8" s="126" t="n">
        <x:f>IFERROR(D8/F8,0)</x:f>
        <x:v>3.4615384615384617</x:v>
      </x:c>
      <x:c r="O8" s="113" t="n">
        <x:f>ROUND((G8*0.35+I8*0.25+K8*0.3+L8*0.1)*100,1)</x:f>
        <x:v>56</x:v>
      </x:c>
      <x:c r="P8" s="93" t="str">
        <x:v>Scale</x:v>
      </x:c>
      <x:c r="Q8" s="93" t="str">
        <x:v>Best density and virality</x:v>
      </x:c>
    </x:row>
    <x:row r="9">
      <x:c r="A9" s="93" t="str">
        <x:v>Campus ambassadors</x:v>
      </x:c>
      <x:c r="B9" s="93" t="str">
        <x:v>Android</x:v>
      </x:c>
      <x:c r="C9" s="93" t="str">
        <x:v>Universities</x:v>
      </x:c>
      <x:c r="D9" s="125" t="n">
        <x:v>16000</x:v>
      </x:c>
      <x:c r="E9" s="93" t="n">
        <x:v>11200</x:v>
      </x:c>
      <x:c r="F9" s="93" t="n">
        <x:v>4700</x:v>
      </x:c>
      <x:c r="G9" s="112" t="n">
        <x:f>IFERROR(F9/E9,0)</x:f>
        <x:v>0.41964285714285715</x:v>
      </x:c>
      <x:c r="H9" s="93" t="n">
        <x:v>3300</x:v>
      </x:c>
      <x:c r="I9" s="112" t="n">
        <x:f>IFERROR(H9/F9,0)</x:f>
        <x:v>0.7021276595744681</x:v>
      </x:c>
      <x:c r="J9" s="93" t="n">
        <x:v>1050</x:v>
      </x:c>
      <x:c r="K9" s="112" t="n">
        <x:f>IFERROR(J9/F9,0)</x:f>
        <x:v>0.22340425531914893</x:v>
      </x:c>
      <x:c r="L9" s="112" t="n">
        <x:v>0.62</x:v>
      </x:c>
      <x:c r="M9" s="126" t="n">
        <x:f>IFERROR(D9/(F9*(1+L9)),0)</x:f>
        <x:v>2.1013921723141578</x:v>
      </x:c>
      <x:c r="N9" s="126" t="n">
        <x:f>IFERROR(D9/F9,0)</x:f>
        <x:v>3.404255319148936</x:v>
      </x:c>
      <x:c r="O9" s="113" t="n">
        <x:f>ROUND((G9*0.35+I9*0.25+K9*0.3+L9*0.1)*100,1)</x:f>
        <x:v>45.1</x:v>
      </x:c>
      <x:c r="P9" s="93" t="str">
        <x:v>Improve onboarding</x:v>
      </x:c>
      <x:c r="Q9" s="93" t="str">
        <x:v>Good CAC, conversion gap</x:v>
      </x:c>
    </x:row>
    <x:row r="10">
      <x:c r="A10" s="93" t="str">
        <x:v>Offline events</x:v>
      </x:c>
      <x:c r="B10" s="93" t="str">
        <x:v>iOS</x:v>
      </x:c>
      <x:c r="C10" s="93" t="str">
        <x:v>Photography meetups</x:v>
      </x:c>
      <x:c r="D10" s="125" t="n">
        <x:v>12000</x:v>
      </x:c>
      <x:c r="E10" s="93" t="n">
        <x:v>5100</x:v>
      </x:c>
      <x:c r="F10" s="93" t="n">
        <x:v>3000</x:v>
      </x:c>
      <x:c r="G10" s="112" t="n">
        <x:f>IFERROR(F10/E10,0)</x:f>
        <x:v>0.5882352941176471</x:v>
      </x:c>
      <x:c r="H10" s="93" t="n">
        <x:v>2400</x:v>
      </x:c>
      <x:c r="I10" s="112" t="n">
        <x:f>IFERROR(H10/F10,0)</x:f>
        <x:v>0.8</x:v>
      </x:c>
      <x:c r="J10" s="93" t="n">
        <x:v>1020</x:v>
      </x:c>
      <x:c r="K10" s="112" t="n">
        <x:f>IFERROR(J10/F10,0)</x:f>
        <x:v>0.34</x:v>
      </x:c>
      <x:c r="L10" s="112" t="n">
        <x:v>0.65</x:v>
      </x:c>
      <x:c r="M10" s="126" t="n">
        <x:f>IFERROR(D10/(F10*(1+L10)),0)</x:f>
        <x:v>2.4242424242424243</x:v>
      </x:c>
      <x:c r="N10" s="126" t="n">
        <x:f>IFERROR(D10/F10,0)</x:f>
        <x:v>4</x:v>
      </x:c>
      <x:c r="O10" s="113" t="n">
        <x:f>ROUND((G10*0.35+I10*0.25+K10*0.3+L10*0.1)*100,1)</x:f>
        <x:v>57.3</x:v>
      </x:c>
      <x:c r="P10" s="93" t="str">
        <x:v>Scale</x:v>
      </x:c>
      <x:c r="Q10" s="93" t="str">
        <x:v>High intent communities</x:v>
      </x:c>
    </x:row>
    <x:row r="11">
      <x:c r="A11" s="93" t="str">
        <x:v>Offline events</x:v>
      </x:c>
      <x:c r="B11" s="93" t="str">
        <x:v>Android</x:v>
      </x:c>
      <x:c r="C11" s="93" t="str">
        <x:v>Sports fans</x:v>
      </x:c>
      <x:c r="D11" s="125" t="n">
        <x:v>11000</x:v>
      </x:c>
      <x:c r="E11" s="93" t="n">
        <x:v>7300</x:v>
      </x:c>
      <x:c r="F11" s="93" t="n">
        <x:v>2600</x:v>
      </x:c>
      <x:c r="G11" s="112" t="n">
        <x:f>IFERROR(F11/E11,0)</x:f>
        <x:v>0.3561643835616438</x:v>
      </x:c>
      <x:c r="H11" s="93" t="n">
        <x:v>1800</x:v>
      </x:c>
      <x:c r="I11" s="112" t="n">
        <x:f>IFERROR(H11/F11,0)</x:f>
        <x:v>0.6923076923076923</x:v>
      </x:c>
      <x:c r="J11" s="93" t="n">
        <x:v>640</x:v>
      </x:c>
      <x:c r="K11" s="112" t="n">
        <x:f>IFERROR(J11/F11,0)</x:f>
        <x:v>0.24615384615384617</x:v>
      </x:c>
      <x:c r="L11" s="112" t="n">
        <x:v>0.45</x:v>
      </x:c>
      <x:c r="M11" s="126" t="n">
        <x:f>IFERROR(D11/(F11*(1+L11)),0)</x:f>
        <x:v>2.9177718832891246</x:v>
      </x:c>
      <x:c r="N11" s="126" t="n">
        <x:f>IFERROR(D11/F11,0)</x:f>
        <x:v>4.230769230769231</x:v>
      </x:c>
      <x:c r="O11" s="113" t="n">
        <x:f>ROUND((G11*0.35+I11*0.25+K11*0.3+L11*0.1)*100,1)</x:f>
        <x:v>41.7</x:v>
      </x:c>
      <x:c r="P11" s="93" t="str">
        <x:v>Test connectors</x:v>
      </x:c>
      <x:c r="Q11" s="93" t="str">
        <x:v>Needs local graph seeding</x:v>
      </x:c>
    </x:row>
    <x:row r="17">
      <x:c r="A17" s="129" t="str">
        <x:v>Note: sample numbers are illustrative; the main goal is to show the metric logic, formulas and decision flow.</x:v>
      </x:c>
    </x:row>
  </x:sheetData>
  <x:mergeCells>
    <x:mergeCell ref="A1:Q1"/>
  </x:mergeCells>
  <x:conditionalFormatting sqref="O4:O11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1">
    <x:dataValidation type="list" sqref="P4:P50">
      <x:formula1>"Scale,Optimize,Pause/fix,Improve onboarding,Test connectors"</x:formula1>
    </x:dataValidation>
  </x:dataValidations>
  <x:pageMargins left="0.7" right="0.7" top="0.75" bottom="0.75" header="0.3" footer="0.3"/>
  <x:drawing xmlns:r="http://schemas.openxmlformats.org/officeDocument/2006/relationships" r:id="R994602172d174dbe"/>
  <x:tableParts count="1">
    <x:tablePart xmlns:r="http://schemas.openxmlformats.org/officeDocument/2006/relationships" r:id="R082fac33c7f8436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4" hidden="0" customWidth="1"/>
    <x:col min="13" max="13" width="24" hidden="0" customWidth="1"/>
  </x:cols>
  <x:sheetData>
    <x:row r="1" ht="36" customHeight="1">
      <x:c r="A1" s="115" t="str">
        <x:v>Funnel and cohorts — install → 3 friends → first post → D1 → D7</x:v>
      </x:c>
      <x:c r="B1" s="116"/>
      <x:c r="C1" s="116"/>
      <x:c r="D1" s="116"/>
      <x:c r="E1" s="116"/>
      <x:c r="F1" s="116"/>
      <x:c r="G1" s="116"/>
      <x:c r="H1" s="116"/>
      <x:c r="I1" s="116"/>
      <x:c r="J1" s="116"/>
      <x:c r="K1" s="116"/>
      <x:c r="L1" s="116"/>
      <x:c r="M1" s="116"/>
      <x:c r="N1" s="58"/>
      <x:c r="O1" s="58"/>
      <x:c r="P1" s="58"/>
      <x:c r="Q1" s="58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6" customHeight="1">
      <x:c r="A2" s="75" t="str">
        <x:v>This is the simple diagnostic view I would use in weekly growth reviews: which step breaks, by source/platform, and what action follows.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</x:row>
    <x:row r="3">
      <x:c r="A3" s="85" t="str">
        <x:v>Source</x:v>
      </x:c>
      <x:c r="B3" s="85" t="str">
        <x:v>Platform</x:v>
      </x:c>
      <x:c r="C3" s="85" t="str">
        <x:v>Installs</x:v>
      </x:c>
      <x:c r="D3" s="85" t="str">
        <x:v>Add ≥3 Friends</x:v>
      </x:c>
      <x:c r="E3" s="85" t="str">
        <x:v>Friend Add Rate</x:v>
      </x:c>
      <x:c r="F3" s="85" t="str">
        <x:v>First Post</x:v>
      </x:c>
      <x:c r="G3" s="85" t="str">
        <x:v>First Post Rate</x:v>
      </x:c>
      <x:c r="H3" s="85" t="str">
        <x:v>D1 Active</x:v>
      </x:c>
      <x:c r="I3" s="85" t="str">
        <x:v>D1 Retention</x:v>
      </x:c>
      <x:c r="J3" s="85" t="str">
        <x:v>D7 Active</x:v>
      </x:c>
      <x:c r="K3" s="85" t="str">
        <x:v>D7 Retention</x:v>
      </x:c>
      <x:c r="L3" s="85" t="str">
        <x:v>Main Drop-off</x:v>
      </x:c>
      <x:c r="M3" s="85" t="str">
        <x:v>Action</x:v>
      </x:c>
    </x:row>
    <x:row r="4">
      <x:c r="A4" s="93" t="str">
        <x:v>TikTok creators</x:v>
      </x:c>
      <x:c r="B4" s="93" t="str">
        <x:v>iOS</x:v>
      </x:c>
      <x:c r="C4" s="127" t="n">
        <x:v>24500</x:v>
      </x:c>
      <x:c r="D4" s="127" t="n">
        <x:v>14200</x:v>
      </x:c>
      <x:c r="E4" s="112" t="n">
        <x:f>IFERROR(D4/C4,0)</x:f>
        <x:v>0.5795918367346938</x:v>
      </x:c>
      <x:c r="F4" s="127" t="n">
        <x:v>8900</x:v>
      </x:c>
      <x:c r="G4" s="112" t="n">
        <x:f>IFERROR(F4/D4,0)</x:f>
        <x:v>0.6267605633802817</x:v>
      </x:c>
      <x:c r="H4" s="127" t="n">
        <x:v>6900</x:v>
      </x:c>
      <x:c r="I4" s="112" t="n">
        <x:f>IFERROR(H4/F4,0)</x:f>
        <x:v>0.7752808988764045</x:v>
      </x:c>
      <x:c r="J4" s="127" t="n">
        <x:v>3700</x:v>
      </x:c>
      <x:c r="K4" s="112" t="n">
        <x:f>IFERROR(J4/F4,0)</x:f>
        <x:v>0.4157303370786517</x:v>
      </x:c>
      <x:c r="L4" s="93" t="str">
        <x:v>Add friends → first post</x:v>
      </x:c>
      <x:c r="M4" s="93" t="str">
        <x:v>Improve first-post prompt + creator-led challenge</x:v>
      </x:c>
    </x:row>
    <x:row r="5">
      <x:c r="A5" s="93" t="str">
        <x:v>TikTok creators</x:v>
      </x:c>
      <x:c r="B5" s="93" t="str">
        <x:v>Android</x:v>
      </x:c>
      <x:c r="C5" s="127" t="n">
        <x:v>30000</x:v>
      </x:c>
      <x:c r="D5" s="127" t="n">
        <x:v>13600</x:v>
      </x:c>
      <x:c r="E5" s="112" t="n">
        <x:f>IFERROR(D5/C5,0)</x:f>
        <x:v>0.4533333333333333</x:v>
      </x:c>
      <x:c r="F5" s="127" t="n">
        <x:v>7600</x:v>
      </x:c>
      <x:c r="G5" s="112" t="n">
        <x:f>IFERROR(F5/D5,0)</x:f>
        <x:v>0.5588235294117647</x:v>
      </x:c>
      <x:c r="H5" s="127" t="n">
        <x:v>5200</x:v>
      </x:c>
      <x:c r="I5" s="112" t="n">
        <x:f>IFERROR(H5/F5,0)</x:f>
        <x:v>0.6842105263157895</x:v>
      </x:c>
      <x:c r="J5" s="127" t="n">
        <x:v>2450</x:v>
      </x:c>
      <x:c r="K5" s="112" t="n">
        <x:f>IFERROR(J5/F5,0)</x:f>
        <x:v>0.3223684210526316</x:v>
      </x:c>
      <x:c r="L5" s="93" t="str">
        <x:v>Friends stage</x:v>
      </x:c>
      <x:c r="M5" s="93" t="str">
        <x:v>Better contact import + local suggestions</x:v>
      </x:c>
    </x:row>
    <x:row r="6">
      <x:c r="A6" s="93" t="str">
        <x:v>Meta clusters</x:v>
      </x:c>
      <x:c r="B6" s="93" t="str">
        <x:v>iOS</x:v>
      </x:c>
      <x:c r="C6" s="127" t="n">
        <x:v>21000</x:v>
      </x:c>
      <x:c r="D6" s="127" t="n">
        <x:v>12100</x:v>
      </x:c>
      <x:c r="E6" s="112" t="n">
        <x:f>IFERROR(D6/C6,0)</x:f>
        <x:v>0.5761904761904761</x:v>
      </x:c>
      <x:c r="F6" s="127" t="n">
        <x:v>7900</x:v>
      </x:c>
      <x:c r="G6" s="112" t="n">
        <x:f>IFERROR(F6/D6,0)</x:f>
        <x:v>0.6528925619834711</x:v>
      </x:c>
      <x:c r="H6" s="127" t="n">
        <x:v>6100</x:v>
      </x:c>
      <x:c r="I6" s="112" t="n">
        <x:f>IFERROR(H6/F6,0)</x:f>
        <x:v>0.7721518987341772</x:v>
      </x:c>
      <x:c r="J6" s="127" t="n">
        <x:v>3400</x:v>
      </x:c>
      <x:c r="K6" s="112" t="n">
        <x:f>IFERROR(J6/F6,0)</x:f>
        <x:v>0.43037974683544306</x:v>
      </x:c>
      <x:c r="L6" s="93" t="str">
        <x:v>First post</x:v>
      </x:c>
      <x:c r="M6" s="93" t="str">
        <x:v>Community-specific first prompt</x:v>
      </x:c>
    </x:row>
    <x:row r="7">
      <x:c r="A7" s="93" t="str">
        <x:v>Meta clusters</x:v>
      </x:c>
      <x:c r="B7" s="93" t="str">
        <x:v>Android</x:v>
      </x:c>
      <x:c r="C7" s="127" t="n">
        <x:v>27000</x:v>
      </x:c>
      <x:c r="D7" s="127" t="n">
        <x:v>9800</x:v>
      </x:c>
      <x:c r="E7" s="112" t="n">
        <x:f>IFERROR(D7/C7,0)</x:f>
        <x:v>0.362962962962963</x:v>
      </x:c>
      <x:c r="F7" s="127" t="n">
        <x:v>5200</x:v>
      </x:c>
      <x:c r="G7" s="112" t="n">
        <x:f>IFERROR(F7/D7,0)</x:f>
        <x:v>0.5306122448979592</x:v>
      </x:c>
      <x:c r="H7" s="127" t="n">
        <x:v>3300</x:v>
      </x:c>
      <x:c r="I7" s="112" t="n">
        <x:f>IFERROR(H7/F7,0)</x:f>
        <x:v>0.6346153846153846</x:v>
      </x:c>
      <x:c r="J7" s="127" t="n">
        <x:v>1500</x:v>
      </x:c>
      <x:c r="K7" s="112" t="n">
        <x:f>IFERROR(J7/F7,0)</x:f>
        <x:v>0.28846153846153844</x:v>
      </x:c>
      <x:c r="L7" s="93" t="str">
        <x:v>Activation</x:v>
      </x:c>
      <x:c r="M7" s="93" t="str">
        <x:v>Pause broad audiences; target denser clusters</x:v>
      </x:c>
    </x:row>
    <x:row r="8">
      <x:c r="A8" s="93" t="str">
        <x:v>Campus ambassadors</x:v>
      </x:c>
      <x:c r="B8" s="93" t="str">
        <x:v>iOS</x:v>
      </x:c>
      <x:c r="C8" s="127" t="n">
        <x:v>9200</x:v>
      </x:c>
      <x:c r="D8" s="127" t="n">
        <x:v>6100</x:v>
      </x:c>
      <x:c r="E8" s="112" t="n">
        <x:f>IFERROR(D8/C8,0)</x:f>
        <x:v>0.6630434782608695</x:v>
      </x:c>
      <x:c r="F8" s="127" t="n">
        <x:v>4100</x:v>
      </x:c>
      <x:c r="G8" s="112" t="n">
        <x:f>IFERROR(F8/D8,0)</x:f>
        <x:v>0.6721311475409836</x:v>
      </x:c>
      <x:c r="H8" s="127" t="n">
        <x:v>3100</x:v>
      </x:c>
      <x:c r="I8" s="112" t="n">
        <x:f>IFERROR(H8/F8,0)</x:f>
        <x:v>0.7560975609756098</x:v>
      </x:c>
      <x:c r="J8" s="127" t="n">
        <x:v>1650</x:v>
      </x:c>
      <x:c r="K8" s="112" t="n">
        <x:f>IFERROR(J8/F8,0)</x:f>
        <x:v>0.4024390243902439</x:v>
      </x:c>
      <x:c r="L8" s="93" t="str">
        <x:v>D1 → D7</x:v>
      </x:c>
      <x:c r="M8" s="93" t="str">
        <x:v>Dorm / club streak experiments</x:v>
      </x:c>
    </x:row>
    <x:row r="9">
      <x:c r="A9" s="93" t="str">
        <x:v>Offline events</x:v>
      </x:c>
      <x:c r="B9" s="93" t="str">
        <x:v>iOS</x:v>
      </x:c>
      <x:c r="C9" s="127" t="n">
        <x:v>5100</x:v>
      </x:c>
      <x:c r="D9" s="127" t="n">
        <x:v>3600</x:v>
      </x:c>
      <x:c r="E9" s="112" t="n">
        <x:f>IFERROR(D9/C9,0)</x:f>
        <x:v>0.7058823529411765</x:v>
      </x:c>
      <x:c r="F9" s="127" t="n">
        <x:v>2400</x:v>
      </x:c>
      <x:c r="G9" s="112" t="n">
        <x:f>IFERROR(F9/D9,0)</x:f>
        <x:v>0.6666666666666666</x:v>
      </x:c>
      <x:c r="H9" s="127" t="n">
        <x:v>1900</x:v>
      </x:c>
      <x:c r="I9" s="112" t="n">
        <x:f>IFERROR(H9/F9,0)</x:f>
        <x:v>0.7916666666666666</x:v>
      </x:c>
      <x:c r="J9" s="127" t="n">
        <x:v>1020</x:v>
      </x:c>
      <x:c r="K9" s="112" t="n">
        <x:f>IFERROR(J9/F9,0)</x:f>
        <x:v>0.425</x:v>
      </x:c>
      <x:c r="L9" s="93" t="str">
        <x:v>D1 → D7</x:v>
      </x:c>
      <x:c r="M9" s="93" t="str">
        <x:v>Event recap post mechanic</x:v>
      </x:c>
    </x:row>
    <x:row r="10">
      <x:c r="A10" s="93"/>
      <x:c r="B10" s="93"/>
      <x:c r="C10" s="93"/>
      <x:c r="D10" s="93"/>
      <x:c r="E10" s="93"/>
      <x:c r="F10" s="93"/>
      <x:c r="G10" s="93"/>
      <x:c r="H10" s="93"/>
      <x:c r="I10" s="93"/>
      <x:c r="J10" s="93"/>
      <x:c r="K10" s="93"/>
      <x:c r="L10" s="93"/>
      <x:c r="M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</x:row>
    <x:row r="12">
      <x:c r="A12" s="93"/>
      <x:c r="B12" s="93"/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  <x:c r="M12" s="93"/>
    </x:row>
    <x:row r="13">
      <x:c r="A13" s="121" t="str">
        <x:v>Weekly retention cohort view</x:v>
      </x:c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</x:row>
    <x:row r="15">
      <x:c r="A15" s="120" t="str">
        <x:v>Install Week</x:v>
      </x:c>
      <x:c r="B15" s="120" t="str">
        <x:v>Source Mix</x:v>
      </x:c>
      <x:c r="C15" s="120" t="str">
        <x:v>New Users</x:v>
      </x:c>
      <x:c r="D15" s="120" t="str">
        <x:v>D1</x:v>
      </x:c>
      <x:c r="E15" s="120" t="str">
        <x:v>D7</x:v>
      </x:c>
      <x:c r="F15" s="120" t="str">
        <x:v>D14</x:v>
      </x:c>
      <x:c r="G15" s="120" t="str">
        <x:v>D21</x:v>
      </x:c>
      <x:c r="H15" s="120" t="str">
        <x:v>D30</x:v>
      </x:c>
      <x:c r="I15" s="120" t="str">
        <x:v>Note</x:v>
      </x:c>
      <x:c r="J15" s="93"/>
      <x:c r="K15" s="93"/>
      <x:c r="L15" s="93"/>
      <x:c r="M15" s="93"/>
    </x:row>
    <x:row r="16">
      <x:c r="A16" s="111" t="n">
        <x:v>46027</x:v>
      </x:c>
      <x:c r="B16" s="93" t="str">
        <x:v>Creators + clusters</x:v>
      </x:c>
      <x:c r="C16" s="127" t="n">
        <x:v>52000</x:v>
      </x:c>
      <x:c r="D16" s="112" t="n">
        <x:v>0.3</x:v>
      </x:c>
      <x:c r="E16" s="112" t="n">
        <x:v>0.16</x:v>
      </x:c>
      <x:c r="F16" s="112" t="n">
        <x:v>0.12</x:v>
      </x:c>
      <x:c r="G16" s="112" t="n">
        <x:v>0.095</x:v>
      </x:c>
      <x:c r="H16" s="112" t="n">
        <x:v>0.08</x:v>
      </x:c>
      <x:c r="I16" s="93" t="str">
        <x:v>Baseline</x:v>
      </x:c>
      <x:c r="J16" s="93"/>
      <x:c r="K16" s="93"/>
      <x:c r="L16" s="93"/>
      <x:c r="M16" s="93"/>
    </x:row>
    <x:row r="17">
      <x:c r="A17" s="111" t="n">
        <x:v>46034</x:v>
      </x:c>
      <x:c r="B17" s="93" t="str">
        <x:v>Campus + offline</x:v>
      </x:c>
      <x:c r="C17" s="127" t="n">
        <x:v>54500</x:v>
      </x:c>
      <x:c r="D17" s="112" t="n">
        <x:v>0.308</x:v>
      </x:c>
      <x:c r="E17" s="112" t="n">
        <x:v>0.166</x:v>
      </x:c>
      <x:c r="F17" s="112" t="n">
        <x:v>0.125</x:v>
      </x:c>
      <x:c r="G17" s="112" t="n">
        <x:v>0.099</x:v>
      </x:c>
      <x:c r="H17" s="112" t="n">
        <x:v>0.083</x:v>
      </x:c>
      <x:c r="I17" s="93" t="str">
        <x:v>Baseline</x:v>
      </x:c>
      <x:c r="J17" s="93"/>
      <x:c r="K17" s="93"/>
      <x:c r="L17" s="93"/>
      <x:c r="M17" s="93"/>
    </x:row>
    <x:row r="18">
      <x:c r="A18" s="111" t="n">
        <x:v>46041</x:v>
      </x:c>
      <x:c r="B18" s="93" t="str">
        <x:v>Creators + clusters</x:v>
      </x:c>
      <x:c r="C18" s="127" t="n">
        <x:v>57000</x:v>
      </x:c>
      <x:c r="D18" s="112" t="n">
        <x:v>0.316</x:v>
      </x:c>
      <x:c r="E18" s="112" t="n">
        <x:v>0.17200000000000001</x:v>
      </x:c>
      <x:c r="F18" s="112" t="n">
        <x:v>0.13</x:v>
      </x:c>
      <x:c r="G18" s="112" t="n">
        <x:v>0.10300000000000001</x:v>
      </x:c>
      <x:c r="H18" s="112" t="n">
        <x:v>0.08600000000000001</x:v>
      </x:c>
      <x:c r="I18" s="93" t="str">
        <x:v>Baseline</x:v>
      </x:c>
      <x:c r="J18" s="93"/>
      <x:c r="K18" s="93"/>
      <x:c r="L18" s="93"/>
      <x:c r="M18" s="93"/>
    </x:row>
    <x:row r="19">
      <x:c r="A19" s="111" t="n">
        <x:v>46048</x:v>
      </x:c>
      <x:c r="B19" s="93" t="str">
        <x:v>Campus + offline</x:v>
      </x:c>
      <x:c r="C19" s="127" t="n">
        <x:v>59500</x:v>
      </x:c>
      <x:c r="D19" s="112" t="n">
        <x:v>0.324</x:v>
      </x:c>
      <x:c r="E19" s="112" t="n">
        <x:v>0.178</x:v>
      </x:c>
      <x:c r="F19" s="112" t="n">
        <x:v>0.135</x:v>
      </x:c>
      <x:c r="G19" s="112" t="n">
        <x:v>0.107</x:v>
      </x:c>
      <x:c r="H19" s="112" t="n">
        <x:v>0.089</x:v>
      </x:c>
      <x:c r="I19" s="93" t="str">
        <x:v>Baseline</x:v>
      </x:c>
      <x:c r="J19" s="93"/>
      <x:c r="K19" s="93"/>
      <x:c r="L19" s="93"/>
      <x:c r="M19" s="93"/>
    </x:row>
    <x:row r="20">
      <x:c r="A20" s="111" t="n">
        <x:v>46055</x:v>
      </x:c>
      <x:c r="B20" s="93" t="str">
        <x:v>Creators + clusters</x:v>
      </x:c>
      <x:c r="C20" s="127" t="n">
        <x:v>62000</x:v>
      </x:c>
      <x:c r="D20" s="112" t="n">
        <x:v>0.33199999999999996</x:v>
      </x:c>
      <x:c r="E20" s="112" t="n">
        <x:v>0.184</x:v>
      </x:c>
      <x:c r="F20" s="112" t="n">
        <x:v>0.13999999999999999</x:v>
      </x:c>
      <x:c r="G20" s="112" t="n">
        <x:v>0.111</x:v>
      </x:c>
      <x:c r="H20" s="112" t="n">
        <x:v>0.092</x:v>
      </x:c>
      <x:c r="I20" s="93" t="str">
        <x:v>Retention improving with denser clusters</x:v>
      </x:c>
      <x:c r="J20" s="93"/>
      <x:c r="K20" s="93"/>
      <x:c r="L20" s="93"/>
      <x:c r="M20" s="93"/>
    </x:row>
    <x:row r="21">
      <x:c r="A21" s="111" t="n">
        <x:v>46062</x:v>
      </x:c>
      <x:c r="B21" s="93" t="str">
        <x:v>Campus + offline</x:v>
      </x:c>
      <x:c r="C21" s="127" t="n">
        <x:v>64500</x:v>
      </x:c>
      <x:c r="D21" s="112" t="n">
        <x:v>0.33999999999999997</x:v>
      </x:c>
      <x:c r="E21" s="112" t="n">
        <x:v>0.19</x:v>
      </x:c>
      <x:c r="F21" s="112" t="n">
        <x:v>0.145</x:v>
      </x:c>
      <x:c r="G21" s="112" t="n">
        <x:v>0.115</x:v>
      </x:c>
      <x:c r="H21" s="112" t="n">
        <x:v>0.095</x:v>
      </x:c>
      <x:c r="I21" s="93" t="str">
        <x:v>Retention improving with denser clusters</x:v>
      </x:c>
      <x:c r="J21" s="93"/>
      <x:c r="K21" s="93"/>
      <x:c r="L21" s="93"/>
      <x:c r="M21" s="93"/>
    </x:row>
    <x:row r="22">
      <x:c r="A22" s="111" t="n">
        <x:v>46069</x:v>
      </x:c>
      <x:c r="B22" s="93" t="str">
        <x:v>Creators + clusters</x:v>
      </x:c>
      <x:c r="C22" s="127" t="n">
        <x:v>67000</x:v>
      </x:c>
      <x:c r="D22" s="112" t="n">
        <x:v>0.348</x:v>
      </x:c>
      <x:c r="E22" s="112" t="n">
        <x:v>0.196</x:v>
      </x:c>
      <x:c r="F22" s="112" t="n">
        <x:v>0.15</x:v>
      </x:c>
      <x:c r="G22" s="112" t="n">
        <x:v>0.119</x:v>
      </x:c>
      <x:c r="H22" s="112" t="n">
        <x:v>0.098</x:v>
      </x:c>
      <x:c r="I22" s="93" t="str">
        <x:v>Retention improving with denser clusters</x:v>
      </x:c>
      <x:c r="J22" s="93"/>
      <x:c r="K22" s="93"/>
      <x:c r="L22" s="93"/>
      <x:c r="M22" s="93"/>
    </x:row>
    <x:row r="23">
      <x:c r="A23" s="111" t="n">
        <x:v>46076</x:v>
      </x:c>
      <x:c r="B23" s="93" t="str">
        <x:v>Campus + offline</x:v>
      </x:c>
      <x:c r="C23" s="127" t="n">
        <x:v>69500</x:v>
      </x:c>
      <x:c r="D23" s="112" t="n">
        <x:v>0.356</x:v>
      </x:c>
      <x:c r="E23" s="112" t="n">
        <x:v>0.202</x:v>
      </x:c>
      <x:c r="F23" s="112" t="n">
        <x:v>0.155</x:v>
      </x:c>
      <x:c r="G23" s="112" t="n">
        <x:v>0.123</x:v>
      </x:c>
      <x:c r="H23" s="112" t="n">
        <x:v>0.101</x:v>
      </x:c>
      <x:c r="I23" s="93" t="str">
        <x:v>Retention improving with denser clusters</x:v>
      </x:c>
      <x:c r="J23" s="93"/>
      <x:c r="K23" s="93"/>
      <x:c r="L23" s="93"/>
      <x:c r="M23" s="93"/>
    </x:row>
    <x:row r="25">
      <x:c r="A25" s="129" t="str">
        <x:v>Note: sample numbers are illustrative; the main goal is to show the metric logic, formulas and decision flow.</x:v>
      </x:c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4a658b4dd85a43e7"/>
  <x:tableParts count="1">
    <x:tablePart xmlns:r="http://schemas.openxmlformats.org/officeDocument/2006/relationships" r:id="R3a70ad5fc352486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6" customHeight="1">
      <x:c r="A1" s="115" t="str">
        <x:v>Alerts &amp; experiments — turning dashboard signals into actions</x:v>
      </x:c>
      <x:c r="B1" s="116"/>
      <x:c r="C1" s="116"/>
      <x:c r="D1" s="116"/>
      <x:c r="E1" s="116"/>
      <x:c r="F1" s="116"/>
      <x:c r="G1" s="116"/>
      <x:c r="H1" s="116"/>
      <x:c r="I1" s="116"/>
      <x:c r="J1" s="116"/>
      <x:c r="K1" s="116"/>
      <x:c r="L1" s="58"/>
      <x:c r="M1" s="58"/>
      <x:c r="N1" s="58"/>
      <x:c r="O1" s="58"/>
      <x:c r="P1" s="58"/>
      <x:c r="Q1" s="58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6" customHeight="1">
      <x:c r="A2" s="75" t="str">
        <x:v>This is intentionally a simple rule-based layer: when a metric breaks for a segment, define the likely cause, experiment, owner and ship/kill rule.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</x:row>
    <x:row r="3">
      <x:c r="A3" s="85" t="str">
        <x:v>Segment / alert</x:v>
      </x:c>
      <x:c r="B3" s="85" t="str">
        <x:v>Trigger</x:v>
      </x:c>
      <x:c r="C3" s="85" t="str">
        <x:v>Detected Signal</x:v>
      </x:c>
      <x:c r="D3" s="85" t="str">
        <x:v>Hypothesis</x:v>
      </x:c>
      <x:c r="E3" s="85" t="str">
        <x:v>Experiment</x:v>
      </x:c>
      <x:c r="F3" s="85" t="str">
        <x:v>Primary Metric</x:v>
      </x:c>
      <x:c r="G3" s="85" t="str">
        <x:v>Guardrail</x:v>
      </x:c>
      <x:c r="H3" s="85" t="str">
        <x:v>Owner</x:v>
      </x:c>
      <x:c r="I3" s="85" t="str">
        <x:v>Status</x:v>
      </x:c>
      <x:c r="J3" s="85" t="str">
        <x:v>Expected Impact</x:v>
      </x:c>
      <x:c r="K3" s="85" t="str">
        <x:v>Decision Rule</x:v>
      </x:c>
    </x:row>
    <x:row r="4">
      <x:c r="A4" s="93" t="str">
        <x:v>Low active friends</x:v>
      </x:c>
      <x:c r="B4" s="93" t="str">
        <x:v>% with ≥3 active friends &lt; 40%</x:v>
      </x:c>
      <x:c r="C4" s="93" t="str">
        <x:v>Berlin music festivals and Chicago campus life under threshold</x:v>
      </x:c>
      <x:c r="D4" s="93" t="str">
        <x:v>Users fail before the loop because the local graph is too sparse</x:v>
      </x:c>
      <x:c r="E4" s="93" t="str">
        <x:v>Local friend suggestion + seed connectors</x:v>
      </x:c>
      <x:c r="F4" s="93" t="str">
        <x:v>% with ≥3 active friends</x:v>
      </x:c>
      <x:c r="G4" s="93" t="str">
        <x:v>Uninstall rate</x:v>
      </x:c>
      <x:c r="H4" s="93" t="str">
        <x:v>Growth PM</x:v>
      </x:c>
      <x:c r="I4" s="93" t="str">
        <x:v>In progress</x:v>
      </x:c>
      <x:c r="J4" s="93" t="str">
        <x:v>+4–6pp D7 retention</x:v>
      </x:c>
      <x:c r="K4" s="93" t="str">
        <x:v>Ship if D7 +3pp and no uninstall increase</x:v>
      </x:c>
    </x:row>
    <x:row r="5">
      <x:c r="A5" s="93" t="str">
        <x:v>High install / low first post</x:v>
      </x:c>
      <x:c r="B5" s="93" t="str">
        <x:v>First post rate &lt; 60% among activated users</x:v>
      </x:c>
      <x:c r="C5" s="93" t="str">
        <x:v>Android Meta clusters drop after friend-add</x:v>
      </x:c>
      <x:c r="D5" s="93" t="str">
        <x:v>Prompt is too generic for real-world communities</x:v>
      </x:c>
      <x:c r="E5" s="93" t="str">
        <x:v>Community-specific first BeReal prompt</x:v>
      </x:c>
      <x:c r="F5" s="93" t="str">
        <x:v>First post rate</x:v>
      </x:c>
      <x:c r="G5" s="93" t="str">
        <x:v>Push opt-out</x:v>
      </x:c>
      <x:c r="H5" s="93" t="str">
        <x:v>Activation PM</x:v>
      </x:c>
      <x:c r="I5" s="93" t="str">
        <x:v>Planned</x:v>
      </x:c>
      <x:c r="J5" s="93" t="str">
        <x:v>+8pp first-post rate</x:v>
      </x:c>
      <x:c r="K5" s="93" t="str">
        <x:v>Scale if first-post +5pp</x:v>
      </x:c>
    </x:row>
    <x:row r="6">
      <x:c r="A6" s="93" t="str">
        <x:v>Dense network but posting drop</x:v>
      </x:c>
      <x:c r="B6" s="93" t="str">
        <x:v>Density high but posts/user down WoW</x:v>
      </x:c>
      <x:c r="C6" s="93" t="str">
        <x:v>Paris book clubs are dense but posting frequency declined</x:v>
      </x:c>
      <x:c r="D6" s="93" t="str">
        <x:v>Habit needs a topical/relevant moment</x:v>
      </x:c>
      <x:c r="E6" s="93" t="str">
        <x:v>Weekly theme challenge for cluster</x:v>
      </x:c>
      <x:c r="F6" s="93" t="str">
        <x:v>Posts/user</x:v>
      </x:c>
      <x:c r="G6" s="93" t="str">
        <x:v>Report/block rate</x:v>
      </x:c>
      <x:c r="H6" s="93" t="str">
        <x:v>CRM/Growth</x:v>
      </x:c>
      <x:c r="I6" s="93" t="str">
        <x:v>Backlog</x:v>
      </x:c>
      <x:c r="J6" s="93" t="str">
        <x:v>+0.2 posts/user/week</x:v>
      </x:c>
      <x:c r="K6" s="93" t="str">
        <x:v>Keep if posts/user +10%</x:v>
      </x:c>
    </x:row>
    <x:row r="7">
      <x:c r="A7" s="93" t="str">
        <x:v>Good quality paid cohort</x:v>
      </x:c>
      <x:c r="B7" s="93" t="str">
        <x:v>Quality score &gt; 55 and CAC below median</x:v>
      </x:c>
      <x:c r="C7" s="93" t="str">
        <x:v>Campus ambassadors iOS and offline iOS outperform</x:v>
      </x:c>
      <x:c r="D7" s="93" t="str">
        <x:v>High-intent communities compound through virality</x:v>
      </x:c>
      <x:c r="E7" s="93" t="str">
        <x:v>Increase budget + referrals at event</x:v>
      </x:c>
      <x:c r="F7" s="93" t="str">
        <x:v>D7 retained users per $</x:v>
      </x:c>
      <x:c r="G7" s="93" t="str">
        <x:v>CAC</x:v>
      </x:c>
      <x:c r="H7" s="93" t="str">
        <x:v>Paid UA</x:v>
      </x:c>
      <x:c r="I7" s="93" t="str">
        <x:v>Ready to scale</x:v>
      </x:c>
      <x:c r="J7" s="93" t="str">
        <x:v>+15–20% retained users</x:v>
      </x:c>
      <x:c r="K7" s="93" t="str">
        <x:v>Scale if quality score stable</x:v>
      </x:c>
    </x:row>
    <x:row r="8">
      <x:c r="A8" s="93" t="str">
        <x:v>Cheap but weak Android</x:v>
      </x:c>
      <x:c r="B8" s="93" t="str">
        <x:v>CAC low but D7 retention &lt; 20%</x:v>
      </x:c>
      <x:c r="C8" s="93" t="str">
        <x:v>TikTok Android has cheap installs but weaker D7</x:v>
      </x:c>
      <x:c r="D8" s="93" t="str">
        <x:v>Android onboarding or contacts flow blocks network formation</x:v>
      </x:c>
      <x:c r="E8" s="93" t="str">
        <x:v>Android contacts import simplification</x:v>
      </x:c>
      <x:c r="F8" s="93" t="str">
        <x:v>Activation rate</x:v>
      </x:c>
      <x:c r="G8" s="93" t="str">
        <x:v>Crash rate</x:v>
      </x:c>
      <x:c r="H8" s="93" t="str">
        <x:v>Android Growth</x:v>
      </x:c>
      <x:c r="I8" s="93" t="str">
        <x:v>Planned</x:v>
      </x:c>
      <x:c r="J8" s="93" t="str">
        <x:v>+3pp activation</x:v>
      </x:c>
      <x:c r="K8" s="93" t="str">
        <x:v>Scale only if D7 &gt; 20%</x:v>
      </x:c>
    </x:row>
    <x:row r="17">
      <x:c r="A17" s="129" t="str">
        <x:v>Note: sample numbers are illustrative; the main goal is to show the metric logic, formulas and decision flow.</x:v>
      </x:c>
    </x:row>
  </x:sheetData>
  <x:mergeCells>
    <x:mergeCell ref="A1:K1"/>
  </x:mergeCells>
  <x:dataValidations count="1">
    <x:dataValidation type="list" sqref="I4:I40">
      <x:formula1>"Backlog,Planned,In progress,Ready to scale,Done"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6e1c37192346f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24" hidden="0" customWidth="1"/>
  </x:cols>
  <x:sheetData>
    <x:row r="1" ht="36" customHeight="1">
      <x:c r="A1" s="115" t="str">
        <x:v>Metric definitions — so the sheet is easy to audit</x:v>
      </x:c>
      <x:c r="B1" s="116"/>
      <x:c r="C1" s="116"/>
      <x:c r="D1" s="116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6" customHeight="1">
      <x:c r="A2" s="75" t="str">
        <x:v>I kept definitions explicit because growth dashboards get confusing fast if activation, retention and quality are not defined consistently.</x:v>
      </x:c>
      <x:c r="B2" s="75"/>
      <x:c r="C2" s="75"/>
      <x:c r="D2" s="75"/>
    </x:row>
    <x:row r="3">
      <x:c r="A3" s="85" t="str">
        <x:v>Metric</x:v>
      </x:c>
      <x:c r="B3" s="85" t="str">
        <x:v>Definition</x:v>
      </x:c>
      <x:c r="C3" s="85" t="str">
        <x:v>Why it matters</x:v>
      </x:c>
      <x:c r="D3" s="85" t="str">
        <x:v>Sheet</x:v>
      </x:c>
    </x:row>
    <x:row r="4">
      <x:c r="A4" s="93" t="str">
        <x:v>Core loop completion</x:v>
      </x:c>
      <x:c r="B4" s="93" t="str">
        <x:v>Share of users who open push, post, view and react within the same cycle</x:v>
      </x:c>
      <x:c r="C4" s="93" t="str">
        <x:v>Measures whether users participate, not just whether they installed</x:v>
      </x:c>
      <x:c r="D4" s="93" t="str">
        <x:v>Core Loop Health</x:v>
      </x:c>
    </x:row>
    <x:row r="5">
      <x:c r="A5" s="93" t="str">
        <x:v>Activation rate</x:v>
      </x:c>
      <x:c r="B5" s="93" t="str">
        <x:v>Activated users / installs, where activation = ≥3 active friends + first post</x:v>
      </x:c>
      <x:c r="C5" s="93" t="str">
        <x:v>A stronger signal than account creation</x:v>
      </x:c>
      <x:c r="D5" s="93" t="str">
        <x:v>Core Loop Health / Acquisition Quality</x:v>
      </x:c>
    </x:row>
    <x:row r="6">
      <x:c r="A6" s="93" t="str">
        <x:v>First post rate</x:v>
      </x:c>
      <x:c r="B6" s="93" t="str">
        <x:v>First posters / activated users</x:v>
      </x:c>
      <x:c r="C6" s="93" t="str">
        <x:v>Identifies whether users move from network setup to contribution</x:v>
      </x:c>
      <x:c r="D6" s="93" t="str">
        <x:v>Funnel Cohorts</x:v>
      </x:c>
    </x:row>
    <x:row r="7">
      <x:c r="A7" s="93" t="str">
        <x:v>D1 / D7 retention</x:v>
      </x:c>
      <x:c r="B7" s="93" t="str">
        <x:v>Users active on day 1 or day 7 after install/activation</x:v>
      </x:c>
      <x:c r="C7" s="93" t="str">
        <x:v>Shows whether the product is creating a habit</x:v>
      </x:c>
      <x:c r="D7" s="93" t="str">
        <x:v>Core Loop Health / Funnel Cohorts</x:v>
      </x:c>
    </x:row>
    <x:row r="8">
      <x:c r="A8" s="93" t="str">
        <x:v>Average active friends</x:v>
      </x:c>
      <x:c r="B8" s="93" t="str">
        <x:v>Average number of friends who were active in the period</x:v>
      </x:c>
      <x:c r="C8" s="93" t="str">
        <x:v>BeReal is a network-density product; inactive networks have low value</x:v>
      </x:c>
      <x:c r="D8" s="93" t="str">
        <x:v>Network Quality</x:v>
      </x:c>
    </x:row>
    <x:row r="9">
      <x:c r="A9" s="93" t="str">
        <x:v>% with ≥3 active friends</x:v>
      </x:c>
      <x:c r="B9" s="93" t="str">
        <x:v>Share of users who have at least 3 active friends</x:v>
      </x:c>
      <x:c r="C9" s="93" t="str">
        <x:v>Threshold for a meaningful social graph</x:v>
      </x:c>
      <x:c r="D9" s="93" t="str">
        <x:v>Network Quality</x:v>
      </x:c>
    </x:row>
    <x:row r="10">
      <x:c r="A10" s="93" t="str">
        <x:v>Cluster density</x:v>
      </x:c>
      <x:c r="B10" s="93" t="str">
        <x:v>A proxy for how connected users are inside a community/city/cohort</x:v>
      </x:c>
      <x:c r="C10" s="93" t="str">
        <x:v>Identifies whether growth creates real communities or isolated users</x:v>
      </x:c>
      <x:c r="D10" s="93" t="str">
        <x:v>Network Quality</x:v>
      </x:c>
    </x:row>
    <x:row r="11">
      <x:c r="A11" s="93" t="str">
        <x:v>Quality score</x:v>
      </x:c>
      <x:c r="B11" s="93" t="str">
        <x:v>Weighted score using activation, first-post, D7 retention and K-factor</x:v>
      </x:c>
      <x:c r="C11" s="93" t="str">
        <x:v>Ranks acquisition channels by downstream quality</x:v>
      </x:c>
      <x:c r="D11" s="93" t="str">
        <x:v>Acquisition Quality</x:v>
      </x:c>
    </x:row>
    <x:row r="12">
      <x:c r="A12" s="93" t="str">
        <x:v>Paid-equivalent CAC</x:v>
      </x:c>
      <x:c r="B12" s="93" t="str">
        <x:v>Spend / activated users / (1 + K-factor)</x:v>
      </x:c>
      <x:c r="C12" s="93" t="str">
        <x:v>Adjusts paid CAC for viral users generated by acquired users</x:v>
      </x:c>
      <x:c r="D12" s="93" t="str">
        <x:v>Acquisition Quality</x:v>
      </x:c>
    </x:row>
    <x:row r="13">
      <x:c r="A13" s="93" t="str">
        <x:v>Alert</x:v>
      </x:c>
      <x:c r="B13" s="93" t="str">
        <x:v>A rule that detects a segment or cohort that needs action</x:v>
      </x:c>
      <x:c r="C13" s="93" t="str">
        <x:v>Turns dashboard from reporting into an operating system</x:v>
      </x:c>
      <x:c r="D13" s="93" t="str">
        <x:v>Experiments Alerts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c80bdff9ecc4ea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60" hidden="0" customWidth="1"/>
  </x:cols>
  <x:sheetData>
    <x:row r="1" ht="36" customHeight="1">
      <x:c r="A1" s="115" t="str">
        <x:v>Assumptions / notes — illustrative data, formulas and targets</x:v>
      </x:c>
      <x:c r="B1" s="116"/>
      <x:c r="C1" s="116"/>
      <x:c r="D1" s="116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36" customHeight="1">
      <x:c r="A2" s="124" t="str">
        <x:v>These are not BeReal numbers. They are placeholders to show how I would structure the dashboard and translate case-study assumptions into targets.</x:v>
      </x:c>
      <x:c r="B2" s="124"/>
      <x:c r="C2" s="124"/>
      <x:c r="D2" s="124"/>
    </x:row>
    <x:row r="3">
      <x:c r="A3" s="85" t="str">
        <x:v>Area</x:v>
      </x:c>
      <x:c r="B3" s="85" t="str">
        <x:v>Input</x:v>
      </x:c>
      <x:c r="C3" s="85" t="str">
        <x:v>Value</x:v>
      </x:c>
      <x:c r="D3" s="85" t="str">
        <x:v>Why it exists / how it maps to my answer</x:v>
      </x:c>
    </x:row>
    <x:row r="4">
      <x:c r="A4" s="93" t="str">
        <x:v>Core loop</x:v>
      </x:c>
      <x:c r="B4" s="93" t="str">
        <x:v>Extended loop</x:v>
      </x:c>
      <x:c r="C4" s="93" t="str">
        <x:v>Push open → post → view → react</x:v>
      </x:c>
      <x:c r="D4" s="93" t="str">
        <x:v>Tracks loop health, not only installs.</x:v>
      </x:c>
    </x:row>
    <x:row r="5">
      <x:c r="A5" s="93" t="str">
        <x:v>Activation</x:v>
      </x:c>
      <x:c r="B5" s="93" t="str">
        <x:v>Activated user definition</x:v>
      </x:c>
      <x:c r="C5" s="93" t="str">
        <x:v>Adds ≥3 friends; first post is tracked as next step</x:v>
      </x:c>
      <x:c r="D5" s="93" t="str">
        <x:v>This keeps activation and first-post rate separate, matching the funnel view.</x:v>
      </x:c>
    </x:row>
    <x:row r="6">
      <x:c r="A6" s="93" t="str">
        <x:v>Network quality</x:v>
      </x:c>
      <x:c r="B6" s="93" t="str">
        <x:v>Meaningful network</x:v>
      </x:c>
      <x:c r="C6" s="93" t="str">
        <x:v>≥3 active friends</x:v>
      </x:c>
      <x:c r="D6" s="93" t="str">
        <x:v>I said users without an active network have almost no value.</x:v>
      </x:c>
    </x:row>
    <x:row r="7">
      <x:c r="A7" s="93" t="str">
        <x:v>Acquisition</x:v>
      </x:c>
      <x:c r="B7" s="93" t="str">
        <x:v>Quality over volume</x:v>
      </x:c>
      <x:c r="C7" s="93" t="str">
        <x:v>Optimize D7 retention and activation, not raw installs</x:v>
      </x:c>
      <x:c r="D7" s="93" t="str">
        <x:v>Matches answer: installs are not a standalone metric.</x:v>
      </x:c>
    </x:row>
    <x:row r="8">
      <x:c r="A8" s="93" t="str">
        <x:v>Segmentation</x:v>
      </x:c>
      <x:c r="B8" s="93" t="str">
        <x:v>Primary cuts</x:v>
      </x:c>
      <x:c r="C8" s="112" t="str">
        <x:v>Platform, source, community cluster/city</x:v>
      </x:c>
      <x:c r="D8" s="93" t="str">
        <x:v>Targets real-world communities and density.</x:v>
      </x:c>
    </x:row>
    <x:row r="9">
      <x:c r="A9" s="93" t="str">
        <x:v>AI dashboard layer</x:v>
      </x:c>
      <x:c r="B9" s="93" t="str">
        <x:v>System behavior</x:v>
      </x:c>
      <x:c r="C9" s="112" t="str">
        <x:v>Auto-segment, detect anomalies, propose experiments</x:v>
      </x:c>
      <x:c r="D9" s="93" t="str">
        <x:v>Turns the dashboard into a hypothesis-generation system.</x:v>
      </x:c>
    </x:row>
    <x:row r="10">
      <x:c r="A10" s="93" t="str">
        <x:v>Viral adjustment</x:v>
      </x:c>
      <x:c r="B10" s="93" t="str">
        <x:v>K-factor</x:v>
      </x:c>
      <x:c r="C10" s="112" t="n">
        <x:v>0.5</x:v>
      </x:c>
      <x:c r="D10" s="93" t="str">
        <x:v>Paid users generate 0.5 additional users through virality; paid-equivalent CAC divides by 1.5.</x:v>
      </x:c>
    </x:row>
    <x:row r="11">
      <x:c r="A11" s="93" t="str">
        <x:v>ROAS context</x:v>
      </x:c>
      <x:c r="B11" s="93" t="str">
        <x:v>D21 / LTV ratio</x:v>
      </x:c>
      <x:c r="C11" s="112" t="n">
        <x:v>0.28</x:v>
      </x:c>
      <x:c r="D11" s="93" t="str">
        <x:v>Used for translating 1-year ROAS target to D21 target.</x:v>
      </x:c>
    </x:row>
    <x:row r="12">
      <x:c r="A12" s="93" t="str">
        <x:v>Target</x:v>
      </x:c>
      <x:c r="B12" s="93" t="str">
        <x:v>1-year ROAS target</x:v>
      </x:c>
      <x:c r="C12" s="112" t="n">
        <x:v>2.5</x:v>
      </x:c>
      <x:c r="D12" s="93" t="str">
        <x:v>From the prompt: 250% ROAS at 1-year period.</x:v>
      </x:c>
    </x:row>
    <x:row r="13">
      <x:c r="A13" s="93" t="str">
        <x:v>Paid-only equivalent ROAS</x:v>
      </x:c>
      <x:c r="B13" s="93" t="str">
        <x:v>1Y target / (1+K)</x:v>
      </x:c>
      <x:c r="C13" s="112" t="n">
        <x:f>C12/(1+C10)</x:f>
        <x:v>1.6666666666666667</x:v>
      </x:c>
      <x:c r="D13" s="93" t="str">
        <x:v>250% / 1.5 = 167% paid-only equivalent.</x:v>
      </x:c>
    </x:row>
    <x:row r="14">
      <x:c r="A14" s="93" t="str">
        <x:v>D21 target</x:v>
      </x:c>
      <x:c r="B14" s="93" t="str">
        <x:v>Paid-only 1Y target × D21/LTV</x:v>
      </x:c>
      <x:c r="C14" s="112" t="n">
        <x:f>C13*C11</x:f>
        <x:v>0.46666666666666673</x:v>
      </x:c>
      <x:c r="D14" s="93" t="str">
        <x:v>167% × 28% ≈ 47% blended D21 ROAS target.</x:v>
      </x:c>
    </x:row>
    <x:row r="15">
      <x:c r="A15" s="20" t="str">
        <x:v>Formula check</x:v>
      </x:c>
      <x:c r="B15" s="20" t="str">
        <x:v>Executive targets</x:v>
      </x:c>
      <x:c r="C15" s="20" t="str">
        <x:v>Numeric targets, not text</x:v>
      </x:c>
      <x:c r="D15" s="20" t="str">
        <x:v>Needed so status formulas compare correctly.</x:v>
      </x:c>
    </x:row>
    <x:row r="16">
      <x:c r="A16" s="20" t="str">
        <x:v>Formula check</x:v>
      </x:c>
      <x:c r="B16" s="20" t="str">
        <x:v>No error tokens</x:v>
      </x:c>
      <x:c r="C16" s="20" t="str">
        <x:v>Passed</x:v>
      </x:c>
      <x:c r="D16" s="20" t="str">
        <x:v>Scanned for #REF!, #DIV/0!, #VALUE!, #NAME?, #N/A.</x:v>
      </x:c>
    </x:row>
    <x:row r="17">
      <x:c r="A17" s="20" t="str">
        <x:v>Formula check</x:v>
      </x:c>
      <x:c r="B17" s="20" t="str">
        <x:v>Dashboard linkage</x:v>
      </x:c>
      <x:c r="C17" s="20" t="str">
        <x:v>Executive KPIs linked to source tabs</x:v>
      </x:c>
      <x:c r="D17" s="20" t="str">
        <x:v>Current KPIs pull from loop, network and acquisition sheets.</x:v>
      </x:c>
    </x:row>
    <x:row r="18">
      <x:c r="A18" s="20"/>
      <x:c r="B18" s="20"/>
      <x:c r="C18" s="20"/>
      <x:c r="D18" s="20"/>
    </x:row>
    <x:row r="19">
      <x:c r="A19" s="20"/>
      <x:c r="B19" s="20"/>
      <x:c r="C19" s="20"/>
      <x:c r="D19" s="20"/>
    </x:row>
    <x:row r="20">
      <x:c r="A20" s="20"/>
      <x:c r="B20" s="20"/>
      <x:c r="C20" s="20"/>
      <x:c r="D20" s="2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4ba6c3a92a34279"/>
  </x:tableParts>
</x:worksheet>
</file>